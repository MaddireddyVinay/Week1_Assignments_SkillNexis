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rin\Downloads\"/>
    </mc:Choice>
  </mc:AlternateContent>
  <xr:revisionPtr revIDLastSave="0" documentId="13_ncr:1_{73C3BBBC-EC6E-468A-891A-887C6E2F23FB}" xr6:coauthVersionLast="47" xr6:coauthVersionMax="47" xr10:uidLastSave="{00000000-0000-0000-0000-000000000000}"/>
  <bookViews>
    <workbookView xWindow="-120" yWindow="-120" windowWidth="24240" windowHeight="13020" xr2:uid="{D3F19A04-9F84-4853-BE19-ADB6B242B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4" i="1"/>
  <c r="J11" i="1"/>
  <c r="J10" i="1"/>
  <c r="J9" i="1"/>
  <c r="B10" i="1"/>
  <c r="B11" i="1" s="1"/>
  <c r="B12" i="1" s="1"/>
  <c r="B13" i="1" s="1"/>
  <c r="B14" i="1" s="1"/>
  <c r="C10" i="1"/>
  <c r="C11" i="1" s="1"/>
  <c r="C12" i="1" s="1"/>
  <c r="C13" i="1" s="1"/>
  <c r="C14" i="1" s="1"/>
  <c r="D10" i="1"/>
  <c r="D11" i="1" s="1"/>
  <c r="D12" i="1" s="1"/>
  <c r="D13" i="1" s="1"/>
  <c r="D14" i="1" s="1"/>
  <c r="B25" i="1"/>
  <c r="B26" i="1" s="1"/>
  <c r="B27" i="1" s="1"/>
  <c r="B28" i="1" s="1"/>
  <c r="B29" i="1" s="1"/>
  <c r="C25" i="1"/>
  <c r="C26" i="1" s="1"/>
  <c r="C27" i="1" s="1"/>
  <c r="C28" i="1" s="1"/>
  <c r="C29" i="1" s="1"/>
  <c r="D25" i="1"/>
  <c r="D26" i="1" s="1"/>
  <c r="D27" i="1" s="1"/>
  <c r="D28" i="1" s="1"/>
  <c r="D29" i="1" s="1"/>
</calcChain>
</file>

<file path=xl/sharedStrings.xml><?xml version="1.0" encoding="utf-8"?>
<sst xmlns="http://schemas.openxmlformats.org/spreadsheetml/2006/main" count="44" uniqueCount="20">
  <si>
    <t>Item</t>
  </si>
  <si>
    <t>X-Mobile</t>
  </si>
  <si>
    <t>Veritium</t>
  </si>
  <si>
    <t>ABC</t>
  </si>
  <si>
    <t>Monthly Base Cost</t>
  </si>
  <si>
    <t>Included Data (GB)</t>
  </si>
  <si>
    <t>Monthly Taxes</t>
  </si>
  <si>
    <t>Monthly Phone Rental</t>
  </si>
  <si>
    <t>Extra Data Cost per GB</t>
  </si>
  <si>
    <t>Initial Phone Cost</t>
  </si>
  <si>
    <t>Data Used per Month</t>
  </si>
  <si>
    <t>Extra Data Used</t>
  </si>
  <si>
    <t>Monthly Extra Data Cost</t>
  </si>
  <si>
    <t>Monthly Total</t>
  </si>
  <si>
    <t>24-Month Recurring Cost</t>
  </si>
  <si>
    <t>24-Month Total Cost</t>
  </si>
  <si>
    <t>Company</t>
  </si>
  <si>
    <t>24-Month Total</t>
  </si>
  <si>
    <t>Susan - Cell Phone Cost</t>
  </si>
  <si>
    <t>Tim - Cell Phone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</si>
</sst>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0" fontId="2" fillId="0" borderId="0" xfId="0" applyFont="1"/>
    <xf numFmtId="44" fontId="2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Susan 24-Month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Sheet1!$J$8</c:f>
              <c:strCache>
                <c:ptCount val="1"/>
                <c:pt idx="0">
                  <c:v>24-Month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Sheet1!$I$9:$I$11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Sheet1!$J$9:$J$11</c:f>
              <c:numCache>
                <c:formatCode>_("₹"* #,##0.00_);_("₹"* \(#,##0.00\);_("₹"* "-"??_);_(@_)</c:formatCode>
                <c:ptCount val="3"/>
                <c:pt idx="0">
                  <c:v>2364</c:v>
                </c:pt>
                <c:pt idx="1">
                  <c:v>2060</c:v>
                </c:pt>
                <c:pt idx="2">
                  <c:v>1560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87-4E53-AF8F-37610E9C9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6636399"/>
        <c:axId val="1302004239"/>
      </c:barChart>
      <c:catAx>
        <c:axId val="151663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004239"/>
        <c:crosses val="autoZero"/>
        <c:auto val="1"/>
        <c:lblAlgn val="ctr"/>
        <c:lblOffset val="100"/>
        <c:noMultiLvlLbl val="0"/>
      </c:catAx>
      <c:valAx>
        <c:axId val="130200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663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 24-Month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Sheet1!$J$13</c:f>
              <c:strCache>
                <c:ptCount val="1"/>
                <c:pt idx="0">
                  <c:v>24-Month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Sheet1!$I$14:$I$16</c:f>
              <c:strCache>
                <c:ptCount val="3"/>
                <c:pt idx="0">
                  <c:v>X-Mobile</c:v>
                </c:pt>
                <c:pt idx="1">
                  <c:v>Veritium</c:v>
                </c:pt>
                <c:pt idx="2">
                  <c:v>ABC</c:v>
                </c:pt>
              </c:strCache>
            </c:strRef>
          </c:cat>
          <c:val>
            <c:numRef>
              <c:f>Sheet1!$J$14:$J$16</c:f>
              <c:numCache>
                <c:formatCode>_("₹"* #,##0.00_);_("₹"* \(#,##0.00\);_("₹"* "-"??_);_(@_)</c:formatCode>
                <c:ptCount val="3"/>
                <c:pt idx="0">
                  <c:v>1404</c:v>
                </c:pt>
                <c:pt idx="1">
                  <c:v>1340</c:v>
                </c:pt>
                <c:pt idx="2">
                  <c:v>1320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4C-4F07-8483-90A722A91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784335"/>
        <c:axId val="1387857103"/>
      </c:barChart>
      <c:catAx>
        <c:axId val="150678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57103"/>
        <c:crosses val="autoZero"/>
        <c:auto val="1"/>
        <c:lblAlgn val="ctr"/>
        <c:lblOffset val="100"/>
        <c:noMultiLvlLbl val="0"/>
      </c:catAx>
      <c:valAx>
        <c:axId val="138785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8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80962</xdr:colOff>
      <xdr:row>1</xdr:row>
      <xdr:rowOff>23812</xdr:rowOff>
    </xdr:from>
    <xdr:to>
      <xdr:col>18</xdr:col>
      <xdr:colOff>385762</xdr:colOff>
      <xdr:row>15</xdr:row>
      <xdr:rowOff>100012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49E9CD-1842-8E8B-3E4A-31A66018E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576262</xdr:colOff>
      <xdr:row>18</xdr:row>
      <xdr:rowOff>33337</xdr:rowOff>
    </xdr:from>
    <xdr:to>
      <xdr:col>18</xdr:col>
      <xdr:colOff>271462</xdr:colOff>
      <xdr:row>32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3D6C9A-2097-F0CC-B5F1-DA8535FB8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77BD-BA40-4594-BE90-D61438F5A8B1}">
  <dimension ref="A1:J29"/>
  <sheetViews>
    <sheetView tabSelected="1" zoomScale="77" zoomScaleNormal="100" workbookViewId="0">
      <selection activeCell="J23" sqref="J23"/>
    </sheetView>
  </sheetViews>
  <sheetFormatPr defaultRowHeight="15" x14ac:dyDescent="0.25"/>
  <cols>
    <col min="1" max="1" width="21.85546875" customWidth="1"/>
    <col min="2" max="3" width="9.140625" customWidth="1"/>
    <col min="4" max="4" width="12.42578125" customWidth="1"/>
    <col min="10" max="10" width="10.5703125" bestFit="1" customWidth="1"/>
  </cols>
  <sheetData>
    <row r="1" spans="1:10" x14ac:dyDescent="0.25">
      <c r="A1" t="s">
        <v>18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</row>
    <row r="3" spans="1:10" x14ac:dyDescent="0.25">
      <c r="A3" t="s">
        <v>4</v>
      </c>
      <c r="B3" s="1">
        <v>19</v>
      </c>
      <c r="C3" s="1">
        <v>35</v>
      </c>
      <c r="D3" s="1">
        <v>55</v>
      </c>
    </row>
    <row r="4" spans="1:10" x14ac:dyDescent="0.25">
      <c r="A4" t="s">
        <v>5</v>
      </c>
      <c r="B4" s="1">
        <v>1</v>
      </c>
      <c r="C4" s="1">
        <v>1</v>
      </c>
      <c r="D4" s="1">
        <v>1</v>
      </c>
    </row>
    <row r="5" spans="1:10" x14ac:dyDescent="0.25">
      <c r="A5" t="s">
        <v>6</v>
      </c>
      <c r="B5" s="1">
        <v>9.5</v>
      </c>
      <c r="C5" s="1">
        <v>0</v>
      </c>
      <c r="D5" s="1">
        <v>0</v>
      </c>
    </row>
    <row r="6" spans="1:10" x14ac:dyDescent="0.25">
      <c r="A6" t="s">
        <v>7</v>
      </c>
      <c r="B6" s="1">
        <v>30</v>
      </c>
      <c r="C6" s="1">
        <v>0</v>
      </c>
      <c r="D6" s="1">
        <v>0</v>
      </c>
    </row>
    <row r="7" spans="1:10" x14ac:dyDescent="0.25">
      <c r="A7" t="s">
        <v>8</v>
      </c>
      <c r="B7" s="1">
        <v>20</v>
      </c>
      <c r="C7" s="1">
        <v>15</v>
      </c>
      <c r="D7" s="1">
        <v>5</v>
      </c>
    </row>
    <row r="8" spans="1:10" x14ac:dyDescent="0.25">
      <c r="A8" t="s">
        <v>9</v>
      </c>
      <c r="B8" s="1">
        <v>0</v>
      </c>
      <c r="C8" s="1">
        <v>500</v>
      </c>
      <c r="D8" s="1">
        <v>0</v>
      </c>
      <c r="I8" t="s">
        <v>16</v>
      </c>
      <c r="J8" t="s">
        <v>17</v>
      </c>
    </row>
    <row r="9" spans="1:10" x14ac:dyDescent="0.25">
      <c r="A9" t="s">
        <v>10</v>
      </c>
      <c r="B9" s="1">
        <v>3</v>
      </c>
      <c r="C9" s="1">
        <v>3</v>
      </c>
      <c r="D9" s="1">
        <v>3</v>
      </c>
      <c r="I9" s="2" t="s">
        <v>1</v>
      </c>
      <c r="J9" s="3">
        <f>B14</f>
        <v>2364</v>
      </c>
    </row>
    <row r="10" spans="1:10" x14ac:dyDescent="0.25">
      <c r="A10" t="s">
        <v>11</v>
      </c>
      <c r="B10" s="1">
        <f>MAX(B9-B4,0)</f>
        <v>2</v>
      </c>
      <c r="C10" s="1">
        <f>MAX(C9-C4,0)</f>
        <v>2</v>
      </c>
      <c r="D10" s="1">
        <f>MAX(D9-D4,0)</f>
        <v>2</v>
      </c>
      <c r="I10" s="2" t="s">
        <v>2</v>
      </c>
      <c r="J10" s="3">
        <f>C14</f>
        <v>2060</v>
      </c>
    </row>
    <row r="11" spans="1:10" x14ac:dyDescent="0.25">
      <c r="A11" t="s">
        <v>12</v>
      </c>
      <c r="B11" s="1">
        <f>B10*B7</f>
        <v>40</v>
      </c>
      <c r="C11" s="1">
        <f>C10*C7</f>
        <v>30</v>
      </c>
      <c r="D11" s="1">
        <f>D10*D7</f>
        <v>10</v>
      </c>
      <c r="I11" s="2" t="s">
        <v>3</v>
      </c>
      <c r="J11" s="3">
        <f>D14</f>
        <v>1560</v>
      </c>
    </row>
    <row r="12" spans="1:10" x14ac:dyDescent="0.25">
      <c r="A12" t="s">
        <v>13</v>
      </c>
      <c r="B12" s="1">
        <f>SUM(B3,B5:B6,B11)</f>
        <v>98.5</v>
      </c>
      <c r="C12" s="1">
        <f>SUM(C3,C5:C6,C11)</f>
        <v>65</v>
      </c>
      <c r="D12" s="1">
        <f>SUM(D3,D5:D6,D11)</f>
        <v>65</v>
      </c>
      <c r="I12" s="2"/>
      <c r="J12" s="2"/>
    </row>
    <row r="13" spans="1:10" x14ac:dyDescent="0.25">
      <c r="A13" t="s">
        <v>14</v>
      </c>
      <c r="B13" s="1">
        <f>B12*24</f>
        <v>2364</v>
      </c>
      <c r="C13" s="1">
        <f>C12*24</f>
        <v>1560</v>
      </c>
      <c r="D13" s="1">
        <f>D12*24</f>
        <v>1560</v>
      </c>
      <c r="I13" s="2" t="s">
        <v>16</v>
      </c>
      <c r="J13" s="2" t="s">
        <v>17</v>
      </c>
    </row>
    <row r="14" spans="1:10" x14ac:dyDescent="0.25">
      <c r="A14" t="s">
        <v>15</v>
      </c>
      <c r="B14" s="1">
        <f>B13+B8</f>
        <v>2364</v>
      </c>
      <c r="C14" s="1">
        <f>C13+C8</f>
        <v>2060</v>
      </c>
      <c r="D14" s="1">
        <f>D13+D8</f>
        <v>1560</v>
      </c>
      <c r="I14" s="2" t="s">
        <v>1</v>
      </c>
      <c r="J14" s="3">
        <f>B29</f>
        <v>1404</v>
      </c>
    </row>
    <row r="15" spans="1:10" x14ac:dyDescent="0.25">
      <c r="I15" s="2" t="s">
        <v>2</v>
      </c>
      <c r="J15" s="3">
        <f>C29</f>
        <v>1340</v>
      </c>
    </row>
    <row r="16" spans="1:10" x14ac:dyDescent="0.25">
      <c r="A16" t="s">
        <v>19</v>
      </c>
      <c r="I16" s="2" t="s">
        <v>3</v>
      </c>
      <c r="J16" s="3">
        <f>D29</f>
        <v>1320</v>
      </c>
    </row>
    <row r="17" spans="1:10" x14ac:dyDescent="0.25">
      <c r="A17" t="s">
        <v>0</v>
      </c>
      <c r="B17" t="s">
        <v>1</v>
      </c>
      <c r="C17" t="s">
        <v>2</v>
      </c>
      <c r="D17" t="s">
        <v>3</v>
      </c>
      <c r="J17" s="1"/>
    </row>
    <row r="18" spans="1:10" x14ac:dyDescent="0.25">
      <c r="A18" t="s">
        <v>4</v>
      </c>
      <c r="B18" s="1">
        <v>19</v>
      </c>
      <c r="C18" s="1">
        <v>35</v>
      </c>
      <c r="D18" s="1">
        <v>55</v>
      </c>
    </row>
    <row r="19" spans="1:10" x14ac:dyDescent="0.25">
      <c r="A19" t="s">
        <v>5</v>
      </c>
      <c r="B19" s="1">
        <v>1</v>
      </c>
      <c r="C19" s="1">
        <v>1</v>
      </c>
      <c r="D19" s="1">
        <v>1</v>
      </c>
    </row>
    <row r="20" spans="1:10" x14ac:dyDescent="0.25">
      <c r="A20" t="s">
        <v>6</v>
      </c>
      <c r="B20" s="1">
        <v>9.5</v>
      </c>
      <c r="C20" s="1">
        <v>0</v>
      </c>
      <c r="D20" s="1">
        <v>0</v>
      </c>
    </row>
    <row r="21" spans="1:10" x14ac:dyDescent="0.25">
      <c r="A21" t="s">
        <v>7</v>
      </c>
      <c r="B21" s="1">
        <v>30</v>
      </c>
      <c r="C21" s="1">
        <v>0</v>
      </c>
      <c r="D21" s="1">
        <v>0</v>
      </c>
    </row>
    <row r="22" spans="1:10" x14ac:dyDescent="0.25">
      <c r="A22" t="s">
        <v>8</v>
      </c>
      <c r="B22" s="1">
        <v>20</v>
      </c>
      <c r="C22" s="1">
        <v>15</v>
      </c>
      <c r="D22" s="1">
        <v>5</v>
      </c>
    </row>
    <row r="23" spans="1:10" x14ac:dyDescent="0.25">
      <c r="A23" t="s">
        <v>9</v>
      </c>
      <c r="B23" s="1">
        <v>0</v>
      </c>
      <c r="C23" s="1">
        <v>500</v>
      </c>
      <c r="D23" s="1">
        <v>0</v>
      </c>
    </row>
    <row r="24" spans="1:10" x14ac:dyDescent="0.25">
      <c r="A24" t="s">
        <v>10</v>
      </c>
      <c r="B24" s="1">
        <v>1</v>
      </c>
      <c r="C24" s="1">
        <v>1</v>
      </c>
      <c r="D24" s="1">
        <v>1</v>
      </c>
    </row>
    <row r="25" spans="1:10" x14ac:dyDescent="0.25">
      <c r="A25" t="s">
        <v>11</v>
      </c>
      <c r="B25" s="1">
        <f>MAX(B24-B19,0)</f>
        <v>0</v>
      </c>
      <c r="C25" s="1">
        <f>MAX(C24-C19,0)</f>
        <v>0</v>
      </c>
      <c r="D25" s="1">
        <f>MAX(D24-D19,0)</f>
        <v>0</v>
      </c>
    </row>
    <row r="26" spans="1:10" x14ac:dyDescent="0.25">
      <c r="A26" t="s">
        <v>12</v>
      </c>
      <c r="B26" s="1">
        <f>B25*B22</f>
        <v>0</v>
      </c>
      <c r="C26" s="1">
        <f>C25*C22</f>
        <v>0</v>
      </c>
      <c r="D26" s="1">
        <f>D25*D22</f>
        <v>0</v>
      </c>
    </row>
    <row r="27" spans="1:10" x14ac:dyDescent="0.25">
      <c r="A27" t="s">
        <v>13</v>
      </c>
      <c r="B27" s="1">
        <f>SUM(B18,B20:B21,B26)</f>
        <v>58.5</v>
      </c>
      <c r="C27" s="1">
        <f>SUM(C18,C20:C21,C26)</f>
        <v>35</v>
      </c>
      <c r="D27" s="1">
        <f>SUM(D18,D20:D21,D26)</f>
        <v>55</v>
      </c>
    </row>
    <row r="28" spans="1:10" x14ac:dyDescent="0.25">
      <c r="A28" t="s">
        <v>14</v>
      </c>
      <c r="B28" s="1">
        <f>B27*24</f>
        <v>1404</v>
      </c>
      <c r="C28" s="1">
        <f>C27*24</f>
        <v>840</v>
      </c>
      <c r="D28" s="1">
        <f>D27*24</f>
        <v>1320</v>
      </c>
    </row>
    <row r="29" spans="1:10" x14ac:dyDescent="0.25">
      <c r="A29" t="s">
        <v>15</v>
      </c>
      <c r="B29" s="1">
        <f>B28+B23</f>
        <v>1404</v>
      </c>
      <c r="C29" s="1">
        <f>C28+C23</f>
        <v>1340</v>
      </c>
      <c r="D29" s="1">
        <f>D28+D23</f>
        <v>1320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Reddy</dc:creator>
  <cp:lastModifiedBy>Srinidhi Reddy</cp:lastModifiedBy>
  <dcterms:created xsi:type="dcterms:W3CDTF">2026-10-07T18:31:14Z</dcterms:created>
  <dcterms:modified xsi:type="dcterms:W3CDTF">2026-10-07T18:49:22Z</dcterms:modified>
</cp:coreProperties>
</file>