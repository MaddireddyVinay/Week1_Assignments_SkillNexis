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in\Downloads\"/>
    </mc:Choice>
  </mc:AlternateContent>
  <xr:revisionPtr revIDLastSave="0" documentId="13_ncr:1_{2C80E7EF-F635-4253-813B-C8A720C37E02}" xr6:coauthVersionLast="47" xr6:coauthVersionMax="47" xr10:uidLastSave="{00000000-0000-0000-0000-000000000000}"/>
  <bookViews>
    <workbookView xWindow="6015" yWindow="375" windowWidth="12210" windowHeight="12885" xr2:uid="{F68088B4-3920-499F-A537-8185AC2450A4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F5" i="1"/>
  <c r="F6" i="1"/>
  <c r="F7" i="1"/>
  <c r="F8" i="1"/>
  <c r="F4" i="1"/>
  <c r="G4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<sst xmlns="http://schemas.openxmlformats.org/spreadsheetml/2006/main" count="12" uniqueCount="12">
  <si>
    <t>M.VINAY</t>
  </si>
  <si>
    <t>Loan A</t>
  </si>
  <si>
    <t>Loan B</t>
  </si>
  <si>
    <t>Loan C</t>
  </si>
  <si>
    <t>Loan D</t>
  </si>
  <si>
    <t>Principle</t>
  </si>
  <si>
    <t>Interest Rate</t>
  </si>
  <si>
    <t>Months</t>
  </si>
  <si>
    <t>Interest Paid</t>
  </si>
  <si>
    <t>Total Loan Paid</t>
  </si>
  <si>
    <t>Monthly Payment</t>
  </si>
  <si>
    <t>Loan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</si>
</sst>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</a:t>
            </a:r>
            <a:r>
              <a:rPr lang="en-IN" baseline="0"/>
              <a:t> Repayments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Loan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Sheet1!$B$3:$G$3</c15:sqref>
                  </c15:fullRef>
                </c:ext>
              </c:extLst>
              <c:f>Sheet1!$C$3</c:f>
              <c:strCache>
                <c:ptCount val="1"/>
                <c:pt idx="0">
                  <c:v>Interest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Sheet1!$B$4:$G$4</c15:sqref>
                  </c15:fullRef>
                </c:ext>
              </c:extLst>
              <c:f>Sheet1!$C$4</c:f>
              <c:numCache>
                <c:formatCode>0%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2-4F87-A2AE-A55BF426B338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Loan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Sheet1!$B$3:$G$3</c15:sqref>
                  </c15:fullRef>
                </c:ext>
              </c:extLst>
              <c:f>Sheet1!$C$3</c:f>
              <c:strCache>
                <c:ptCount val="1"/>
                <c:pt idx="0">
                  <c:v>Interest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Sheet1!$B$5:$G$5</c15:sqref>
                  </c15:fullRef>
                </c:ext>
              </c:extLst>
              <c:f>Sheet1!$C$5</c:f>
              <c:numCache>
                <c:formatCode>0%</c:formatCode>
                <c:ptCount val="1"/>
                <c:pt idx="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E2-4F87-A2AE-A55BF426B338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Loan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Sheet1!$B$3:$G$3</c15:sqref>
                  </c15:fullRef>
                </c:ext>
              </c:extLst>
              <c:f>Sheet1!$C$3</c:f>
              <c:strCache>
                <c:ptCount val="1"/>
                <c:pt idx="0">
                  <c:v>Interest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Sheet1!$B$6:$G$6</c15:sqref>
                  </c15:fullRef>
                </c:ext>
              </c:extLst>
              <c:f>Sheet1!$C$6</c:f>
              <c:numCache>
                <c:formatCode>0%</c:formatCode>
                <c:ptCount val="1"/>
                <c:pt idx="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E2-4F87-A2AE-A55BF426B338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Loan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Sheet1!$B$3:$G$3</c15:sqref>
                  </c15:fullRef>
                </c:ext>
              </c:extLst>
              <c:f>Sheet1!$C$3</c:f>
              <c:strCache>
                <c:ptCount val="1"/>
                <c:pt idx="0">
                  <c:v>Interest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Sheet1!$B$7:$G$7</c15:sqref>
                  </c15:fullRef>
                </c:ext>
              </c:extLst>
              <c:f>Sheet1!$C$7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E2-4F87-A2AE-A55BF426B338}"/>
            </c:ext>
          </c:extLst>
        </c:ser>
        <c:ser>
          <c:idx val="4"/>
          <c:order val="4"/>
          <c:tx>
            <c:strRef>
              <c:f>Sheet1!$A$8</c:f>
              <c:strCache>
                <c:ptCount val="1"/>
                <c:pt idx="0">
                  <c:v>Loan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Sheet1!$B$3:$G$3</c15:sqref>
                  </c15:fullRef>
                </c:ext>
              </c:extLst>
              <c:f>Sheet1!$C$3</c:f>
              <c:strCache>
                <c:ptCount val="1"/>
                <c:pt idx="0">
                  <c:v>Interest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Sheet1!$B$8:$G$8</c15:sqref>
                  </c15:fullRef>
                </c:ext>
              </c:extLst>
              <c:f>Sheet1!$C$8</c:f>
              <c:numCache>
                <c:formatCode>0%</c:formatCode>
                <c:ptCount val="1"/>
                <c:pt idx="0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E2-4F87-A2AE-A55BF426B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268335"/>
        <c:axId val="283252207"/>
      </c:barChart>
      <c:catAx>
        <c:axId val="56826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252207"/>
        <c:crosses val="autoZero"/>
        <c:auto val="1"/>
        <c:lblAlgn val="ctr"/>
        <c:lblOffset val="100"/>
        <c:noMultiLvlLbl val="0"/>
      </c:catAx>
      <c:valAx>
        <c:axId val="28325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26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9</xdr:row>
      <xdr:rowOff>128587</xdr:rowOff>
    </xdr:from>
    <xdr:to>
      <xdr:col>6</xdr:col>
      <xdr:colOff>904875</xdr:colOff>
      <xdr:row>24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CE030C-CDB4-6A59-126D-E5003A89C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FD34-C033-4561-9A33-35E32F1E4A10}">
  <dimension ref="A1:G8"/>
  <sheetViews>
    <sheetView tabSelected="1" workbookViewId="0">
      <selection activeCell="K15" sqref="K15"/>
    </sheetView>
  </sheetViews>
  <sheetFormatPr defaultRowHeight="15" x14ac:dyDescent="0.25"/>
  <cols>
    <col min="2" max="2" width="13.7109375" style="1" customWidth="1"/>
    <col min="3" max="3" width="14.7109375" style="2" customWidth="1"/>
    <col min="4" max="4" width="13.42578125" customWidth="1"/>
    <col min="5" max="5" width="15.85546875" customWidth="1"/>
    <col min="6" max="6" width="13.42578125" customWidth="1"/>
    <col min="7" max="7" width="16.42578125" customWidth="1"/>
  </cols>
  <sheetData>
    <row r="1" spans="1:7" x14ac:dyDescent="0.25">
      <c r="A1" t="s">
        <v>0</v>
      </c>
    </row>
    <row r="3" spans="1:7" x14ac:dyDescent="0.25">
      <c r="B3" s="1" t="s">
        <v>5</v>
      </c>
      <c r="C3" s="2" t="s">
        <v>6</v>
      </c>
      <c r="D3" t="s">
        <v>7</v>
      </c>
      <c r="E3" t="s">
        <v>8</v>
      </c>
      <c r="F3" t="s">
        <v>9</v>
      </c>
      <c r="G3" t="s">
        <v>10</v>
      </c>
    </row>
    <row r="4" spans="1:7" x14ac:dyDescent="0.25">
      <c r="A4" t="s">
        <v>1</v>
      </c>
      <c r="B4" s="1">
        <v>100000</v>
      </c>
      <c r="C4" s="2">
        <v>0.09</v>
      </c>
      <c r="D4">
        <v>12</v>
      </c>
      <c r="E4" s="1">
        <f>B4*C4</f>
        <v>9000</v>
      </c>
      <c r="F4" s="1">
        <f>E4+B4</f>
        <v>109000</v>
      </c>
      <c r="G4" s="1">
        <f>F4/D4</f>
        <v>9083.3333333333339</v>
      </c>
    </row>
    <row r="5" spans="1:7" x14ac:dyDescent="0.25">
      <c r="A5" t="s">
        <v>2</v>
      </c>
      <c r="B5" s="1">
        <v>200000</v>
      </c>
      <c r="C5" s="2">
        <v>0.08</v>
      </c>
      <c r="D5">
        <v>12</v>
      </c>
      <c r="E5" s="1">
        <f t="shared" ref="E5:E8" si="0">B5*C5</f>
        <v>16000</v>
      </c>
      <c r="F5" s="1">
        <f t="shared" ref="F5:F8" si="1">E5+B5</f>
        <v>216000</v>
      </c>
      <c r="G5" s="1">
        <f t="shared" ref="G5:G8" si="2">F5/D5</f>
        <v>18000</v>
      </c>
    </row>
    <row r="6" spans="1:7" x14ac:dyDescent="0.25">
      <c r="A6" t="s">
        <v>3</v>
      </c>
      <c r="B6" s="1">
        <v>50000</v>
      </c>
      <c r="C6" s="2">
        <v>0.06</v>
      </c>
      <c r="D6">
        <v>12</v>
      </c>
      <c r="E6" s="1">
        <f t="shared" si="0"/>
        <v>3000</v>
      </c>
      <c r="F6" s="1">
        <f t="shared" si="1"/>
        <v>53000</v>
      </c>
      <c r="G6" s="1">
        <f t="shared" si="2"/>
        <v>4416.666666666667</v>
      </c>
    </row>
    <row r="7" spans="1:7" x14ac:dyDescent="0.25">
      <c r="A7" t="s">
        <v>4</v>
      </c>
      <c r="B7" s="1">
        <v>70000</v>
      </c>
      <c r="C7" s="2">
        <v>0.1</v>
      </c>
      <c r="D7">
        <v>12</v>
      </c>
      <c r="E7" s="1">
        <f t="shared" si="0"/>
        <v>7000</v>
      </c>
      <c r="F7" s="1">
        <f t="shared" si="1"/>
        <v>77000</v>
      </c>
      <c r="G7" s="1">
        <f t="shared" si="2"/>
        <v>6416.666666666667</v>
      </c>
    </row>
    <row r="8" spans="1:7" x14ac:dyDescent="0.25">
      <c r="A8" t="s">
        <v>11</v>
      </c>
      <c r="B8" s="1">
        <v>90000</v>
      </c>
      <c r="C8" s="2">
        <v>0.14000000000000001</v>
      </c>
      <c r="D8">
        <v>12</v>
      </c>
      <c r="E8" s="1">
        <f t="shared" si="0"/>
        <v>12600.000000000002</v>
      </c>
      <c r="F8" s="1">
        <f t="shared" si="1"/>
        <v>102600</v>
      </c>
      <c r="G8" s="1">
        <f t="shared" si="2"/>
        <v>8550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Reddy</dc:creator>
  <cp:lastModifiedBy>Srinidhi Reddy</cp:lastModifiedBy>
  <dcterms:created xsi:type="dcterms:W3CDTF">2026-10-06T13:28:03Z</dcterms:created>
  <dcterms:modified xsi:type="dcterms:W3CDTF">2026-10-06T14:12:08Z</dcterms:modified>
</cp:coreProperties>
</file>