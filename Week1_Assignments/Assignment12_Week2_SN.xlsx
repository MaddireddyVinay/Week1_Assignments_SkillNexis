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8_{9D4CFBC9-D37F-4784-87E6-97003E0E4391}" xr6:coauthVersionLast="47" xr6:coauthVersionMax="47" xr10:uidLastSave="{00000000-0000-0000-0000-000000000000}"/>
  <bookViews>
    <workbookView xWindow="-120" yWindow="-120" windowWidth="24240" windowHeight="13020" xr2:uid="{F9E4EDCC-C421-450A-AE63-D3CABB90F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B11" i="1"/>
  <c r="C11" i="1"/>
  <c r="C13" i="1" s="1"/>
  <c r="D11" i="1"/>
  <c r="D13" i="1" s="1"/>
  <c r="D15" i="1" s="1"/>
  <c r="D19" i="1" s="1"/>
  <c r="F10" i="1" s="1"/>
  <c r="B12" i="1"/>
  <c r="B15" i="1" s="1"/>
  <c r="C12" i="1"/>
  <c r="C15" i="1" s="1"/>
  <c r="D12" i="1"/>
  <c r="B13" i="1"/>
  <c r="B14" i="1"/>
  <c r="C14" i="1"/>
  <c r="D14" i="1"/>
  <c r="B16" i="1"/>
  <c r="C16" i="1"/>
  <c r="D16" i="1"/>
  <c r="D17" i="1" s="1"/>
  <c r="F5" i="1" s="1"/>
  <c r="B18" i="1"/>
  <c r="C18" i="1"/>
  <c r="D18" i="1"/>
  <c r="C17" i="1" l="1"/>
  <c r="F4" i="1" s="1"/>
  <c r="C19" i="1"/>
  <c r="F9" i="1" s="1"/>
  <c r="B17" i="1"/>
  <c r="B19" i="1"/>
  <c r="F8" i="1" s="1"/>
</calcChain>
</file>

<file path=xl/sharedStrings.xml><?xml version="1.0" encoding="utf-8"?>
<sst xmlns="http://schemas.openxmlformats.org/spreadsheetml/2006/main" count="34" uniqueCount="26">
  <si>
    <t>Assignment 6 - Car Cost Analysis</t>
  </si>
  <si>
    <t>Company</t>
  </si>
  <si>
    <t>Total Cost</t>
  </si>
  <si>
    <t>Item</t>
  </si>
  <si>
    <t>Chevy Spark</t>
  </si>
  <si>
    <t>Ford Mustang</t>
  </si>
  <si>
    <t>Cadillac Escalade</t>
  </si>
  <si>
    <t>Car</t>
  </si>
  <si>
    <t>Susan</t>
  </si>
  <si>
    <t>Purchase Price</t>
  </si>
  <si>
    <t>MPG</t>
  </si>
  <si>
    <t>Annual Insurance</t>
  </si>
  <si>
    <t>Sales Tax</t>
  </si>
  <si>
    <t>Annual License</t>
  </si>
  <si>
    <t>Regular Gas Price</t>
  </si>
  <si>
    <t>Lifetime Miles</t>
  </si>
  <si>
    <t>Miles Per Year</t>
  </si>
  <si>
    <t>Years of Ownership</t>
  </si>
  <si>
    <t>Lifetime Gas Cost</t>
  </si>
  <si>
    <t>Lifetime Insurance Cost</t>
  </si>
  <si>
    <t>Lifetime License Cost</t>
  </si>
  <si>
    <t>Recurring Cost</t>
  </si>
  <si>
    <t>Susan Initial Cost</t>
  </si>
  <si>
    <t>Susan Lifetime Total</t>
  </si>
  <si>
    <t>Tim Initial Cost</t>
  </si>
  <si>
    <t>Tim Lifetime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</si>
</sst>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Susan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Sheet1!$E$3:$E$5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Sheet1!$F$3:$F$5</c:f>
              <c:numCache>
                <c:formatCode>_("₹"* #,##0.00_);_("₹"* \(#,##0.00\);_("₹"* "-"??_);_(@_)</c:formatCode>
                <c:ptCount val="3"/>
                <c:pt idx="0">
                  <c:v>58692.857142857145</c:v>
                </c:pt>
                <c:pt idx="1">
                  <c:v>109920.17543859649</c:v>
                </c:pt>
                <c:pt idx="2">
                  <c:v>167445.09803921569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3-45F4-A203-02474710D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620159"/>
        <c:axId val="1546562639"/>
      </c:barChart>
      <c:catAx>
        <c:axId val="151662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62639"/>
        <c:crosses val="autoZero"/>
        <c:auto val="1"/>
        <c:lblAlgn val="ctr"/>
        <c:lblOffset val="100"/>
        <c:noMultiLvlLbl val="0"/>
      </c:catAx>
      <c:valAx>
        <c:axId val="154656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62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Sheet1!$F$7</c:f>
              <c:strCache>
                <c:ptCount val="1"/>
                <c:pt idx="0">
                  <c:v> Total 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Sheet1!$E$8:$E$10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Sheet1!$F$8:$F$10</c:f>
              <c:numCache>
                <c:formatCode>_("₹"* #,##0.00_);_("₹"* \(#,##0.00\);_("₹"* "-"??_);_(@_)</c:formatCode>
                <c:ptCount val="3"/>
                <c:pt idx="0">
                  <c:v>64492.857142857145</c:v>
                </c:pt>
                <c:pt idx="1">
                  <c:v>122320.17543859649</c:v>
                </c:pt>
                <c:pt idx="2">
                  <c:v>196245.09803921569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B-423E-A5DF-1E72F37E7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141983"/>
        <c:axId val="1546541519"/>
      </c:barChart>
      <c:catAx>
        <c:axId val="15371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41519"/>
        <c:crosses val="autoZero"/>
        <c:auto val="1"/>
        <c:lblAlgn val="ctr"/>
        <c:lblOffset val="100"/>
        <c:noMultiLvlLbl val="0"/>
      </c:catAx>
      <c:valAx>
        <c:axId val="15465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</xdr:row>
      <xdr:rowOff>109537</xdr:rowOff>
    </xdr:from>
    <xdr:to>
      <xdr:col>14</xdr:col>
      <xdr:colOff>161925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D1C64-0409-7A14-1556-1D21C7E9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16</xdr:row>
      <xdr:rowOff>157162</xdr:rowOff>
    </xdr:from>
    <xdr:to>
      <xdr:col>14</xdr:col>
      <xdr:colOff>9525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F9FA7-10CF-B1C2-ACD3-1CEB3BB2E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7E9A-5A69-4F7D-851F-0D17220F6176}">
  <dimension ref="A1:F19"/>
  <sheetViews>
    <sheetView tabSelected="1" workbookViewId="0">
      <selection activeCell="P16" sqref="P16"/>
    </sheetView>
  </sheetViews>
  <sheetFormatPr defaultRowHeight="15" x14ac:dyDescent="0.25"/>
  <cols>
    <col min="1" max="1" width="13.140625" customWidth="1"/>
    <col min="2" max="2" width="12.140625" customWidth="1"/>
    <col min="3" max="3" width="14.28515625" customWidth="1"/>
    <col min="4" max="4" width="17.28515625" customWidth="1"/>
    <col min="5" max="5" width="13.42578125" customWidth="1"/>
    <col min="6" max="6" width="14.5703125" customWidth="1"/>
  </cols>
  <sheetData>
    <row r="1" spans="1:6" x14ac:dyDescent="0.25">
      <c r="A1" t="s">
        <v>0</v>
      </c>
      <c r="D1" t="s">
        <v>1</v>
      </c>
      <c r="E1" t="s">
        <v>2</v>
      </c>
    </row>
    <row r="2" spans="1:6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 s="1">
        <v>14500</v>
      </c>
      <c r="C3" s="1">
        <v>31000</v>
      </c>
      <c r="D3" s="1">
        <v>72000</v>
      </c>
      <c r="E3" t="s">
        <v>4</v>
      </c>
      <c r="F3" s="1">
        <f>B17</f>
        <v>58692.857142857145</v>
      </c>
    </row>
    <row r="4" spans="1:6" x14ac:dyDescent="0.25">
      <c r="A4" t="s">
        <v>10</v>
      </c>
      <c r="B4" s="1">
        <v>35</v>
      </c>
      <c r="C4" s="1">
        <v>19</v>
      </c>
      <c r="D4" s="1">
        <v>17</v>
      </c>
      <c r="E4" t="s">
        <v>5</v>
      </c>
      <c r="F4" s="1">
        <f>C17</f>
        <v>109920.17543859649</v>
      </c>
    </row>
    <row r="5" spans="1:6" x14ac:dyDescent="0.25">
      <c r="A5" t="s">
        <v>11</v>
      </c>
      <c r="B5" s="1">
        <v>1500</v>
      </c>
      <c r="C5" s="1">
        <v>2500</v>
      </c>
      <c r="D5" s="1">
        <v>3100</v>
      </c>
      <c r="E5" t="s">
        <v>6</v>
      </c>
      <c r="F5" s="1">
        <f>D17</f>
        <v>167445.09803921569</v>
      </c>
    </row>
    <row r="6" spans="1:6" x14ac:dyDescent="0.25">
      <c r="A6" t="s">
        <v>12</v>
      </c>
      <c r="B6" s="1">
        <v>1450</v>
      </c>
      <c r="C6" s="1">
        <v>3100</v>
      </c>
      <c r="D6" s="1">
        <v>7200</v>
      </c>
      <c r="F6" s="1"/>
    </row>
    <row r="7" spans="1:6" x14ac:dyDescent="0.25">
      <c r="A7" t="s">
        <v>13</v>
      </c>
      <c r="B7" s="1">
        <v>210</v>
      </c>
      <c r="C7" s="1">
        <v>300</v>
      </c>
      <c r="D7" s="1">
        <v>450</v>
      </c>
      <c r="E7" t="s">
        <v>7</v>
      </c>
      <c r="F7" s="1" t="s">
        <v>2</v>
      </c>
    </row>
    <row r="8" spans="1:6" x14ac:dyDescent="0.25">
      <c r="A8" t="s">
        <v>14</v>
      </c>
      <c r="B8" s="1">
        <v>3.9889999999999999</v>
      </c>
      <c r="C8" s="1">
        <v>3.9889999999999999</v>
      </c>
      <c r="D8" s="1">
        <v>3.9889999999999999</v>
      </c>
      <c r="E8" t="s">
        <v>4</v>
      </c>
      <c r="F8" s="1">
        <f>B19</f>
        <v>64492.857142857145</v>
      </c>
    </row>
    <row r="9" spans="1:6" x14ac:dyDescent="0.25">
      <c r="A9" t="s">
        <v>15</v>
      </c>
      <c r="B9" s="1">
        <v>250000</v>
      </c>
      <c r="C9" s="1">
        <v>250000</v>
      </c>
      <c r="D9" s="1">
        <v>250000</v>
      </c>
      <c r="E9" t="s">
        <v>5</v>
      </c>
      <c r="F9" s="1">
        <f>C19</f>
        <v>122320.17543859649</v>
      </c>
    </row>
    <row r="10" spans="1:6" x14ac:dyDescent="0.25">
      <c r="A10" t="s">
        <v>16</v>
      </c>
      <c r="B10" s="1">
        <v>30000</v>
      </c>
      <c r="C10" s="1">
        <v>30000</v>
      </c>
      <c r="D10" s="1">
        <v>30000</v>
      </c>
      <c r="E10" t="s">
        <v>6</v>
      </c>
      <c r="F10" s="1">
        <f>D19</f>
        <v>196245.09803921569</v>
      </c>
    </row>
    <row r="11" spans="1:6" x14ac:dyDescent="0.25">
      <c r="A11" t="s">
        <v>17</v>
      </c>
      <c r="B11" s="1">
        <f>B9/B10</f>
        <v>8.3333333333333339</v>
      </c>
      <c r="C11" s="1">
        <f>C9/C10</f>
        <v>8.3333333333333339</v>
      </c>
      <c r="D11" s="1">
        <f>D9/D10</f>
        <v>8.3333333333333339</v>
      </c>
    </row>
    <row r="12" spans="1:6" x14ac:dyDescent="0.25">
      <c r="A12" t="s">
        <v>18</v>
      </c>
      <c r="B12" s="1">
        <f>B9/B4*B8</f>
        <v>28492.857142857141</v>
      </c>
      <c r="C12" s="1">
        <f>C9/C4*C8</f>
        <v>52486.842105263153</v>
      </c>
      <c r="D12" s="1">
        <f>D9/D4*D8</f>
        <v>58661.76470588235</v>
      </c>
    </row>
    <row r="13" spans="1:6" x14ac:dyDescent="0.25">
      <c r="A13" t="s">
        <v>19</v>
      </c>
      <c r="B13" s="1">
        <f>B5*B11</f>
        <v>12500</v>
      </c>
      <c r="C13" s="1">
        <f>C5*C11</f>
        <v>20833.333333333336</v>
      </c>
      <c r="D13" s="1">
        <f>D5*D11</f>
        <v>25833.333333333336</v>
      </c>
    </row>
    <row r="14" spans="1:6" x14ac:dyDescent="0.25">
      <c r="A14" t="s">
        <v>20</v>
      </c>
      <c r="B14" s="1">
        <f>B7*B11</f>
        <v>1750.0000000000002</v>
      </c>
      <c r="C14" s="1">
        <f>C7*C11</f>
        <v>2500</v>
      </c>
      <c r="D14" s="1">
        <f>D7*D11</f>
        <v>3750.0000000000005</v>
      </c>
    </row>
    <row r="15" spans="1:6" x14ac:dyDescent="0.25">
      <c r="A15" t="s">
        <v>21</v>
      </c>
      <c r="B15" s="1">
        <f>SUM(B12:B14)</f>
        <v>42742.857142857145</v>
      </c>
      <c r="C15" s="1">
        <f>SUM(C12:C14)</f>
        <v>75820.175438596489</v>
      </c>
      <c r="D15" s="1">
        <f>SUM(D12:D14)</f>
        <v>88245.098039215693</v>
      </c>
    </row>
    <row r="16" spans="1:6" x14ac:dyDescent="0.25">
      <c r="A16" t="s">
        <v>22</v>
      </c>
      <c r="B16" s="1">
        <f>B3+B6</f>
        <v>15950</v>
      </c>
      <c r="C16" s="1">
        <f>C3+C6</f>
        <v>34100</v>
      </c>
      <c r="D16" s="1">
        <f>D3+D6</f>
        <v>79200</v>
      </c>
    </row>
    <row r="17" spans="1:4" x14ac:dyDescent="0.25">
      <c r="A17" t="s">
        <v>23</v>
      </c>
      <c r="B17" s="1">
        <f>B16+B15</f>
        <v>58692.857142857145</v>
      </c>
      <c r="C17" s="1">
        <f>C16+C15</f>
        <v>109920.17543859649</v>
      </c>
      <c r="D17" s="1">
        <f>D16+D15</f>
        <v>167445.09803921569</v>
      </c>
    </row>
    <row r="18" spans="1:4" x14ac:dyDescent="0.25">
      <c r="A18" t="s">
        <v>24</v>
      </c>
      <c r="B18" s="1">
        <f>B3*1.4+B6</f>
        <v>21750</v>
      </c>
      <c r="C18" s="1">
        <f>C3*1.4+C6</f>
        <v>46500</v>
      </c>
      <c r="D18" s="1">
        <f>D3*1.4+D6</f>
        <v>108000</v>
      </c>
    </row>
    <row r="19" spans="1:4" x14ac:dyDescent="0.25">
      <c r="A19" t="s">
        <v>25</v>
      </c>
      <c r="B19" s="1">
        <f>B18+B15</f>
        <v>64492.857142857145</v>
      </c>
      <c r="C19" s="1">
        <f>C18+C15</f>
        <v>122320.17543859649</v>
      </c>
      <c r="D19" s="1">
        <f>D18+D15</f>
        <v>196245.09803921569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2026-10-07T18:47:30Z</dcterms:created>
  <dcterms:modified xsi:type="dcterms:W3CDTF">2026-10-07T18:49:14Z</dcterms:modified>
</cp:coreProperties>
</file>