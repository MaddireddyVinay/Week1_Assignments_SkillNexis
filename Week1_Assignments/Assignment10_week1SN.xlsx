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srin\Downloads\Week1_Assignments\"/>
    </mc:Choice>
  </mc:AlternateContent>
  <xr:revisionPtr revIDLastSave="0" documentId="13_ncr:1_{8DA5126F-49C6-4222-8216-C937CC7ED90E}" xr6:coauthVersionLast="47" xr6:coauthVersionMax="47" xr10:uidLastSave="{00000000-0000-0000-0000-000000000000}"/>
  <bookViews>
    <workbookView xWindow="6015" yWindow="375" windowWidth="12210" windowHeight="12885" xr2:uid="{6AEBC917-781A-4654-8136-3081E186FC9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7" i="1" l="1"/>
  <c r="G18" i="1"/>
  <c r="G17" i="1"/>
  <c r="G16" i="1"/>
  <c r="D24" i="1"/>
  <c r="C24" i="1"/>
  <c r="B24" i="1"/>
  <c r="G4" i="1"/>
  <c r="G5" i="1"/>
  <c r="G6" i="1"/>
  <c r="B18" i="1"/>
  <c r="C18" i="1"/>
  <c r="C20" i="1" s="1"/>
  <c r="D18" i="1"/>
  <c r="C19" i="1"/>
  <c r="D19" i="1"/>
  <c r="B20" i="1"/>
  <c r="D20" i="1"/>
  <c r="C21" i="1"/>
  <c r="D21" i="1"/>
  <c r="D22" i="1"/>
  <c r="C23" i="1"/>
  <c r="D23" i="1"/>
  <c r="B11" i="1"/>
  <c r="B5" i="1"/>
  <c r="C5" i="1"/>
  <c r="D5" i="1"/>
  <c r="C6" i="1"/>
  <c r="D6" i="1"/>
  <c r="C7" i="1"/>
  <c r="D7" i="1"/>
  <c r="C8" i="1"/>
  <c r="D8" i="1"/>
  <c r="D9" i="1"/>
  <c r="C10" i="1"/>
  <c r="D10" i="1"/>
  <c r="C11" i="1"/>
  <c r="D11" i="1"/>
</calcChain>
</file>

<file path=xl/sharedStrings.xml><?xml version="1.0" encoding="utf-8"?>
<sst xmlns="http://schemas.openxmlformats.org/spreadsheetml/2006/main" count="38" uniqueCount="17">
  <si>
    <t>Three Vacations</t>
  </si>
  <si>
    <t>Expense</t>
  </si>
  <si>
    <t>Caribbean Cruise</t>
  </si>
  <si>
    <t>Orlando Theme Parks</t>
  </si>
  <si>
    <t>Chicago Museum Tour</t>
  </si>
  <si>
    <t>Number of People</t>
  </si>
  <si>
    <t>Airfare per Person</t>
  </si>
  <si>
    <t>Airfare Total</t>
  </si>
  <si>
    <t>Vacation/Activity Cost per Person</t>
  </si>
  <si>
    <t>Vacation/Activity Total</t>
  </si>
  <si>
    <t>Hotel Cost</t>
  </si>
  <si>
    <t>Car Rental</t>
  </si>
  <si>
    <t>Food Cost</t>
  </si>
  <si>
    <t>Total Cost</t>
  </si>
  <si>
    <t>Tim's Three Vacations</t>
  </si>
  <si>
    <t>Tim's Vacation</t>
  </si>
  <si>
    <t>Susan's Vacation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</si>
</sst>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 &quot;₹&quot;\ * #,##0.00_ ;_ &quot;₹&quot;\ * \-#,##0.00_ ;_ &quot;₹&quot;\ * &quot;-&quot;??_ ;_ @_ 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">
    <xf numFmtId="0" fontId="0" fillId="0" borderId="0" xfId="0"/>
    <xf numFmtId="44" fontId="0" fillId="0" borderId="0" xfId="1" applyFont="1"/>
    <xf numFmtId="44" fontId="0" fillId="0" borderId="0" xfId="0" applyNumberFormat="1"/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Sum Cost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Sheet1!$G$3</c:f>
              <c:strCache>
                <c:ptCount val="1"/>
                <c:pt idx="0">
                  <c:v>Total Cost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Sheet1!$F$4:$F$6</c:f>
              <c:strCache>
                <c:ptCount val="3"/>
                <c:pt idx="0">
                  <c:v>Caribbean Cruise</c:v>
                </c:pt>
                <c:pt idx="1">
                  <c:v>Orlando Theme Parks</c:v>
                </c:pt>
                <c:pt idx="2">
                  <c:v>Chicago Museum Tour</c:v>
                </c:pt>
              </c:strCache>
            </c:strRef>
          </c:cat>
          <c:val>
            <c:numRef>
              <c:f>Sheet1!$G$4:$G$6</c:f>
              <c:numCache>
                <c:formatCode>_("₹"* #,##0.00_);_("₹"* \(#,##0.00\);_("₹"* "-"??_);_(@_)</c:formatCode>
                <c:ptCount val="3"/>
                <c:pt idx="0">
                  <c:v>1810</c:v>
                </c:pt>
                <c:pt idx="1">
                  <c:v>1853</c:v>
                </c:pt>
                <c:pt idx="2">
                  <c:v>1854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3D8-4847-BC7C-E273EDF9608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451645759"/>
        <c:axId val="1501486959"/>
      </c:barChart>
      <c:catAx>
        <c:axId val="14516457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01486959"/>
        <c:crosses val="autoZero"/>
        <c:auto val="1"/>
        <c:lblAlgn val="ctr"/>
        <c:lblOffset val="100"/>
        <c:noMultiLvlLbl val="0"/>
      </c:catAx>
      <c:valAx>
        <c:axId val="15014869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₹&quot;* #,##0.00_);_(&quot;₹&quot;* \(#,##0.00\);_(&quot;₹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5164575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Tim Cost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Sheet1!$G$15</c:f>
              <c:strCache>
                <c:ptCount val="1"/>
                <c:pt idx="0">
                  <c:v>Total Cost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Sheet1!$F$16:$F$18</c:f>
              <c:strCache>
                <c:ptCount val="3"/>
                <c:pt idx="0">
                  <c:v>Caribbean Cruise</c:v>
                </c:pt>
                <c:pt idx="1">
                  <c:v>Orlando Theme Parks</c:v>
                </c:pt>
                <c:pt idx="2">
                  <c:v>Chicago Museum Tour</c:v>
                </c:pt>
              </c:strCache>
            </c:strRef>
          </c:cat>
          <c:val>
            <c:numRef>
              <c:f>Sheet1!$G$16:$G$18</c:f>
              <c:numCache>
                <c:formatCode>_("₹"* #,##0.00_);_("₹"* \(#,##0.00\);_("₹"* "-"??_);_(@_)</c:formatCode>
                <c:ptCount val="3"/>
                <c:pt idx="0">
                  <c:v>7909</c:v>
                </c:pt>
                <c:pt idx="1">
                  <c:v>3793</c:v>
                </c:pt>
                <c:pt idx="2">
                  <c:v>7511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CDF-4EA5-9EFA-1CB25A586B1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86214463"/>
        <c:axId val="1501439919"/>
      </c:barChart>
      <c:catAx>
        <c:axId val="13862144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01439919"/>
        <c:crosses val="autoZero"/>
        <c:auto val="1"/>
        <c:lblAlgn val="ctr"/>
        <c:lblOffset val="100"/>
        <c:noMultiLvlLbl val="0"/>
      </c:catAx>
      <c:valAx>
        <c:axId val="15014399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₹&quot;* #,##0.00_);_(&quot;₹&quot;* \(#,##0.00\);_(&quot;₹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8621446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304800</xdr:colOff>
      <xdr:row>0</xdr:row>
      <xdr:rowOff>119062</xdr:rowOff>
    </xdr:from>
    <xdr:to>
      <xdr:col>15</xdr:col>
      <xdr:colOff>0</xdr:colOff>
      <xdr:row>15</xdr:row>
      <xdr:rowOff>4762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F6CE2F0-0A7F-8455-718F-F2C88267B2B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171450</xdr:colOff>
      <xdr:row>16</xdr:row>
      <xdr:rowOff>80962</xdr:rowOff>
    </xdr:from>
    <xdr:to>
      <xdr:col>14</xdr:col>
      <xdr:colOff>476250</xdr:colOff>
      <xdr:row>30</xdr:row>
      <xdr:rowOff>157162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CD551A9-C388-C8B0-A010-75DD12887F3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2FA859-4255-4485-810C-9528DFC87D7A}">
  <dimension ref="A1:G24"/>
  <sheetViews>
    <sheetView tabSelected="1" workbookViewId="0">
      <selection activeCell="E11" sqref="E11"/>
    </sheetView>
  </sheetViews>
  <sheetFormatPr defaultRowHeight="15" x14ac:dyDescent="0.25"/>
  <cols>
    <col min="1" max="1" width="30.42578125" customWidth="1"/>
    <col min="2" max="2" width="20.85546875" customWidth="1"/>
    <col min="3" max="3" width="21.5703125" customWidth="1"/>
    <col min="4" max="4" width="16" customWidth="1"/>
    <col min="5" max="5" width="12.85546875" customWidth="1"/>
    <col min="6" max="6" width="23.85546875" customWidth="1"/>
    <col min="7" max="7" width="15.140625" customWidth="1"/>
  </cols>
  <sheetData>
    <row r="1" spans="1:7" x14ac:dyDescent="0.25">
      <c r="A1" t="s">
        <v>0</v>
      </c>
    </row>
    <row r="2" spans="1:7" x14ac:dyDescent="0.25">
      <c r="A2" t="s">
        <v>1</v>
      </c>
      <c r="B2" t="s">
        <v>2</v>
      </c>
      <c r="C2" t="s">
        <v>3</v>
      </c>
      <c r="D2" t="s">
        <v>4</v>
      </c>
    </row>
    <row r="3" spans="1:7" x14ac:dyDescent="0.25">
      <c r="A3" t="s">
        <v>5</v>
      </c>
      <c r="B3" s="1">
        <v>2</v>
      </c>
      <c r="C3" s="1">
        <v>2</v>
      </c>
      <c r="D3" s="1">
        <v>2</v>
      </c>
      <c r="F3" t="s">
        <v>16</v>
      </c>
      <c r="G3" t="s">
        <v>13</v>
      </c>
    </row>
    <row r="4" spans="1:7" x14ac:dyDescent="0.25">
      <c r="A4" t="s">
        <v>6</v>
      </c>
      <c r="B4" s="1">
        <v>350</v>
      </c>
      <c r="C4" s="1">
        <v>100</v>
      </c>
      <c r="D4" s="1">
        <v>280</v>
      </c>
      <c r="F4" t="s">
        <v>2</v>
      </c>
      <c r="G4" s="2">
        <f>B11</f>
        <v>1810</v>
      </c>
    </row>
    <row r="5" spans="1:7" x14ac:dyDescent="0.25">
      <c r="A5" t="s">
        <v>7</v>
      </c>
      <c r="B5" s="1">
        <f>B4*B3</f>
        <v>700</v>
      </c>
      <c r="C5" s="1">
        <f>C4*C3</f>
        <v>200</v>
      </c>
      <c r="D5" s="1">
        <f>D4*D3</f>
        <v>560</v>
      </c>
      <c r="F5" t="s">
        <v>3</v>
      </c>
      <c r="G5" s="2">
        <f>C11</f>
        <v>1853</v>
      </c>
    </row>
    <row r="6" spans="1:7" x14ac:dyDescent="0.25">
      <c r="A6" t="s">
        <v>8</v>
      </c>
      <c r="B6" s="1">
        <v>555</v>
      </c>
      <c r="C6" s="1">
        <f>99+95+85+85</f>
        <v>364</v>
      </c>
      <c r="D6" s="1">
        <f>18+25+15+9</f>
        <v>67</v>
      </c>
      <c r="F6" t="s">
        <v>4</v>
      </c>
      <c r="G6" s="2">
        <f>D11</f>
        <v>1854</v>
      </c>
    </row>
    <row r="7" spans="1:7" x14ac:dyDescent="0.25">
      <c r="A7" t="s">
        <v>9</v>
      </c>
      <c r="B7" s="1">
        <f>B6*B3</f>
        <v>1110</v>
      </c>
      <c r="C7" s="1">
        <f>C6*C3</f>
        <v>728</v>
      </c>
      <c r="D7" s="1">
        <f>D6*D3</f>
        <v>134</v>
      </c>
    </row>
    <row r="8" spans="1:7" x14ac:dyDescent="0.25">
      <c r="A8" t="s">
        <v>10</v>
      </c>
      <c r="B8" s="1">
        <v>0</v>
      </c>
      <c r="C8" s="1">
        <f>105*5</f>
        <v>525</v>
      </c>
      <c r="D8" s="1">
        <f>120*5</f>
        <v>600</v>
      </c>
    </row>
    <row r="9" spans="1:7" x14ac:dyDescent="0.25">
      <c r="A9" t="s">
        <v>11</v>
      </c>
      <c r="B9" s="1">
        <v>0</v>
      </c>
      <c r="C9" s="1">
        <v>0</v>
      </c>
      <c r="D9" s="1">
        <f>40*4</f>
        <v>160</v>
      </c>
    </row>
    <row r="10" spans="1:7" x14ac:dyDescent="0.25">
      <c r="A10" t="s">
        <v>12</v>
      </c>
      <c r="B10" s="1">
        <v>0</v>
      </c>
      <c r="C10" s="1">
        <f>50*C3*4</f>
        <v>400</v>
      </c>
      <c r="D10" s="1">
        <f>50*D3*4</f>
        <v>400</v>
      </c>
    </row>
    <row r="11" spans="1:7" x14ac:dyDescent="0.25">
      <c r="A11" t="s">
        <v>13</v>
      </c>
      <c r="B11" s="1">
        <f>SUM(B5,B7:B10)</f>
        <v>1810</v>
      </c>
      <c r="C11" s="1">
        <f>SUM(C5,C7:C10)</f>
        <v>1853</v>
      </c>
      <c r="D11" s="1">
        <f>SUM(D5,D7:D10)</f>
        <v>1854</v>
      </c>
    </row>
    <row r="14" spans="1:7" x14ac:dyDescent="0.25">
      <c r="A14" t="s">
        <v>14</v>
      </c>
    </row>
    <row r="15" spans="1:7" x14ac:dyDescent="0.25">
      <c r="A15" t="s">
        <v>1</v>
      </c>
      <c r="B15" t="s">
        <v>2</v>
      </c>
      <c r="C15" t="s">
        <v>3</v>
      </c>
      <c r="D15" t="s">
        <v>4</v>
      </c>
      <c r="F15" t="s">
        <v>15</v>
      </c>
      <c r="G15" t="s">
        <v>13</v>
      </c>
    </row>
    <row r="16" spans="1:7" x14ac:dyDescent="0.25">
      <c r="A16" t="s">
        <v>5</v>
      </c>
      <c r="B16" s="1">
        <v>4</v>
      </c>
      <c r="C16" s="1">
        <v>4</v>
      </c>
      <c r="D16" s="1">
        <v>4</v>
      </c>
      <c r="F16" t="s">
        <v>2</v>
      </c>
      <c r="G16" s="2">
        <f>B24</f>
        <v>7909</v>
      </c>
    </row>
    <row r="17" spans="1:7" x14ac:dyDescent="0.25">
      <c r="A17" t="s">
        <v>6</v>
      </c>
      <c r="B17" s="1">
        <v>350</v>
      </c>
      <c r="C17" s="1">
        <v>100</v>
      </c>
      <c r="D17" s="1">
        <v>280</v>
      </c>
      <c r="F17" t="s">
        <v>3</v>
      </c>
      <c r="G17" s="2">
        <f>C24</f>
        <v>3793</v>
      </c>
    </row>
    <row r="18" spans="1:7" x14ac:dyDescent="0.25">
      <c r="A18" t="s">
        <v>7</v>
      </c>
      <c r="B18" s="1">
        <f>B17*B16</f>
        <v>1400</v>
      </c>
      <c r="C18" s="1">
        <f>C17*C16</f>
        <v>400</v>
      </c>
      <c r="D18" s="1">
        <f>D17*D16</f>
        <v>1120</v>
      </c>
      <c r="F18" t="s">
        <v>4</v>
      </c>
      <c r="G18" s="2">
        <f>D24</f>
        <v>7511</v>
      </c>
    </row>
    <row r="19" spans="1:7" x14ac:dyDescent="0.25">
      <c r="A19" t="s">
        <v>8</v>
      </c>
      <c r="B19" s="1">
        <v>555</v>
      </c>
      <c r="C19" s="1">
        <f>99+95+85+85</f>
        <v>364</v>
      </c>
      <c r="D19" s="1">
        <f>18+25+15+9</f>
        <v>67</v>
      </c>
    </row>
    <row r="20" spans="1:7" x14ac:dyDescent="0.25">
      <c r="A20" t="s">
        <v>9</v>
      </c>
      <c r="B20" s="1">
        <f>B18*B16</f>
        <v>5600</v>
      </c>
      <c r="C20" s="1">
        <f>C18*C16</f>
        <v>1600</v>
      </c>
      <c r="D20" s="1">
        <f>D18*D16</f>
        <v>4480</v>
      </c>
    </row>
    <row r="21" spans="1:7" x14ac:dyDescent="0.25">
      <c r="A21" t="s">
        <v>10</v>
      </c>
      <c r="B21" s="1">
        <v>0</v>
      </c>
      <c r="C21" s="1">
        <f>105*5</f>
        <v>525</v>
      </c>
      <c r="D21" s="1">
        <f>120*5</f>
        <v>600</v>
      </c>
    </row>
    <row r="22" spans="1:7" x14ac:dyDescent="0.25">
      <c r="A22" t="s">
        <v>11</v>
      </c>
      <c r="B22" s="1">
        <v>0</v>
      </c>
      <c r="C22" s="1">
        <v>0</v>
      </c>
      <c r="D22" s="1">
        <f>40*4</f>
        <v>160</v>
      </c>
    </row>
    <row r="23" spans="1:7" x14ac:dyDescent="0.25">
      <c r="A23" t="s">
        <v>12</v>
      </c>
      <c r="B23" s="1">
        <v>0</v>
      </c>
      <c r="C23" s="1">
        <f>50*C16*4</f>
        <v>800</v>
      </c>
      <c r="D23" s="1">
        <f>50*D16*4</f>
        <v>800</v>
      </c>
    </row>
    <row r="24" spans="1:7" x14ac:dyDescent="0.25">
      <c r="A24" t="s">
        <v>13</v>
      </c>
      <c r="B24" s="1">
        <f>SUM(B16:B23)</f>
        <v>7909</v>
      </c>
      <c r="C24" s="1">
        <f>SUM(C16:C23)</f>
        <v>3793</v>
      </c>
      <c r="D24" s="1">
        <f>SUM(D16:D23)</f>
        <v>7511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Srinidhi Reddy</dc:creator>
  <cp:lastModifiedBy>Srinidhi Reddy</cp:lastModifiedBy>
  <dcterms:created xsi:type="dcterms:W3CDTF">2026-10-07T18:07:01Z</dcterms:created>
  <dcterms:modified xsi:type="dcterms:W3CDTF">2026-10-08T03:36:36Z</dcterms:modified>
</cp:coreProperties>
</file>