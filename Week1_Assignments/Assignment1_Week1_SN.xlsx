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rin\Downloads\"/>
    </mc:Choice>
  </mc:AlternateContent>
  <xr:revisionPtr revIDLastSave="0" documentId="8_{80017D39-0239-4FE5-9329-E35C420B7A87}" xr6:coauthVersionLast="47" xr6:coauthVersionMax="47" xr10:uidLastSave="{00000000-0000-0000-0000-000000000000}"/>
  <bookViews>
    <workbookView xWindow="-120" yWindow="-120" windowWidth="24240" windowHeight="13020" xr2:uid="{DB883882-6DE1-4A70-852E-74298EDD5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9" i="1" l="1"/>
  <c r="Z28" i="1"/>
  <c r="Z27" i="1"/>
  <c r="Z26" i="1"/>
  <c r="X27" i="1"/>
  <c r="X28" i="1"/>
  <c r="X29" i="1"/>
  <c r="X26" i="1"/>
  <c r="Z20" i="1"/>
  <c r="Z18" i="1"/>
  <c r="Z17" i="1"/>
  <c r="Z16" i="1"/>
  <c r="Z8" i="1"/>
  <c r="F28" i="1"/>
  <c r="F29" i="1"/>
  <c r="G29" i="1"/>
  <c r="E29" i="1"/>
  <c r="E28" i="1"/>
  <c r="F27" i="1"/>
  <c r="E27" i="1"/>
  <c r="F26" i="1"/>
  <c r="E26" i="1"/>
  <c r="D27" i="1"/>
  <c r="D28" i="1"/>
  <c r="D29" i="1"/>
  <c r="D26" i="1"/>
  <c r="P3" i="1"/>
  <c r="Q3" i="1" s="1"/>
  <c r="R3" i="1" s="1"/>
  <c r="S3" i="1" s="1"/>
  <c r="U3" i="1"/>
  <c r="V3" i="1" s="1"/>
  <c r="W3" i="1" s="1"/>
  <c r="X3" i="1" s="1"/>
  <c r="X12" i="1"/>
  <c r="W13" i="1"/>
  <c r="Z13" i="1" s="1"/>
  <c r="W14" i="1"/>
  <c r="Z14" i="1" s="1"/>
  <c r="U4" i="1"/>
  <c r="V4" i="1"/>
  <c r="W4" i="1"/>
  <c r="Z4" i="1" s="1"/>
  <c r="X4" i="1"/>
  <c r="U5" i="1"/>
  <c r="V5" i="1"/>
  <c r="W5" i="1"/>
  <c r="Z5" i="1" s="1"/>
  <c r="X5" i="1"/>
  <c r="U6" i="1"/>
  <c r="V6" i="1"/>
  <c r="W6" i="1"/>
  <c r="Z6" i="1" s="1"/>
  <c r="X6" i="1"/>
  <c r="U7" i="1"/>
  <c r="V7" i="1"/>
  <c r="W7" i="1"/>
  <c r="Z7" i="1" s="1"/>
  <c r="X7" i="1"/>
  <c r="U8" i="1"/>
  <c r="V8" i="1"/>
  <c r="W8" i="1"/>
  <c r="X8" i="1"/>
  <c r="U9" i="1"/>
  <c r="V9" i="1"/>
  <c r="W9" i="1"/>
  <c r="Z9" i="1" s="1"/>
  <c r="X9" i="1"/>
  <c r="U10" i="1"/>
  <c r="V10" i="1"/>
  <c r="W10" i="1"/>
  <c r="Z10" i="1" s="1"/>
  <c r="X10" i="1"/>
  <c r="U11" i="1"/>
  <c r="V11" i="1"/>
  <c r="W11" i="1"/>
  <c r="Z11" i="1" s="1"/>
  <c r="X11" i="1"/>
  <c r="U12" i="1"/>
  <c r="V12" i="1"/>
  <c r="W12" i="1"/>
  <c r="Z12" i="1" s="1"/>
  <c r="U13" i="1"/>
  <c r="V13" i="1"/>
  <c r="X13" i="1"/>
  <c r="U14" i="1"/>
  <c r="V14" i="1"/>
  <c r="X14" i="1"/>
  <c r="U15" i="1"/>
  <c r="V15" i="1"/>
  <c r="W15" i="1"/>
  <c r="Z15" i="1" s="1"/>
  <c r="X15" i="1"/>
  <c r="U16" i="1"/>
  <c r="V16" i="1"/>
  <c r="W16" i="1"/>
  <c r="X16" i="1"/>
  <c r="U17" i="1"/>
  <c r="V17" i="1"/>
  <c r="W17" i="1"/>
  <c r="X17" i="1"/>
  <c r="U18" i="1"/>
  <c r="V18" i="1"/>
  <c r="W18" i="1"/>
  <c r="X18" i="1"/>
  <c r="U19" i="1"/>
  <c r="V19" i="1"/>
  <c r="W19" i="1"/>
  <c r="Z19" i="1" s="1"/>
  <c r="X19" i="1"/>
  <c r="U20" i="1"/>
  <c r="V20" i="1"/>
  <c r="W20" i="1"/>
  <c r="X20" i="1"/>
  <c r="U21" i="1"/>
  <c r="V21" i="1"/>
  <c r="W21" i="1"/>
  <c r="Z21" i="1" s="1"/>
  <c r="X21" i="1"/>
  <c r="U22" i="1"/>
  <c r="V22" i="1"/>
  <c r="W22" i="1"/>
  <c r="Z22" i="1" s="1"/>
  <c r="X22" i="1"/>
  <c r="U23" i="1"/>
  <c r="V23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4" i="1"/>
  <c r="K4" i="1"/>
  <c r="P4" i="1" s="1"/>
  <c r="L4" i="1"/>
  <c r="Q4" i="1" s="1"/>
  <c r="M4" i="1"/>
  <c r="R4" i="1" s="1"/>
  <c r="N4" i="1"/>
  <c r="S4" i="1" s="1"/>
  <c r="K5" i="1"/>
  <c r="P5" i="1" s="1"/>
  <c r="L5" i="1"/>
  <c r="Q5" i="1" s="1"/>
  <c r="M5" i="1"/>
  <c r="R5" i="1" s="1"/>
  <c r="N5" i="1"/>
  <c r="S5" i="1" s="1"/>
  <c r="K6" i="1"/>
  <c r="P6" i="1" s="1"/>
  <c r="L6" i="1"/>
  <c r="Q6" i="1" s="1"/>
  <c r="M6" i="1"/>
  <c r="R6" i="1" s="1"/>
  <c r="N6" i="1"/>
  <c r="S6" i="1" s="1"/>
  <c r="K7" i="1"/>
  <c r="P7" i="1" s="1"/>
  <c r="L7" i="1"/>
  <c r="Q7" i="1" s="1"/>
  <c r="M7" i="1"/>
  <c r="R7" i="1" s="1"/>
  <c r="N7" i="1"/>
  <c r="S7" i="1" s="1"/>
  <c r="K8" i="1"/>
  <c r="P8" i="1" s="1"/>
  <c r="L8" i="1"/>
  <c r="Q8" i="1" s="1"/>
  <c r="M8" i="1"/>
  <c r="R8" i="1" s="1"/>
  <c r="N8" i="1"/>
  <c r="S8" i="1" s="1"/>
  <c r="K9" i="1"/>
  <c r="P9" i="1" s="1"/>
  <c r="L9" i="1"/>
  <c r="Q9" i="1" s="1"/>
  <c r="M9" i="1"/>
  <c r="R9" i="1" s="1"/>
  <c r="N9" i="1"/>
  <c r="S9" i="1" s="1"/>
  <c r="K10" i="1"/>
  <c r="P10" i="1" s="1"/>
  <c r="L10" i="1"/>
  <c r="Q10" i="1" s="1"/>
  <c r="M10" i="1"/>
  <c r="R10" i="1" s="1"/>
  <c r="N10" i="1"/>
  <c r="S10" i="1" s="1"/>
  <c r="K11" i="1"/>
  <c r="P11" i="1" s="1"/>
  <c r="L11" i="1"/>
  <c r="Q11" i="1" s="1"/>
  <c r="M11" i="1"/>
  <c r="R11" i="1" s="1"/>
  <c r="N11" i="1"/>
  <c r="S11" i="1" s="1"/>
  <c r="K12" i="1"/>
  <c r="P12" i="1" s="1"/>
  <c r="L12" i="1"/>
  <c r="Q12" i="1" s="1"/>
  <c r="M12" i="1"/>
  <c r="R12" i="1" s="1"/>
  <c r="N12" i="1"/>
  <c r="S12" i="1" s="1"/>
  <c r="K13" i="1"/>
  <c r="P13" i="1" s="1"/>
  <c r="L13" i="1"/>
  <c r="Q13" i="1" s="1"/>
  <c r="M13" i="1"/>
  <c r="R13" i="1" s="1"/>
  <c r="N13" i="1"/>
  <c r="S13" i="1" s="1"/>
  <c r="K14" i="1"/>
  <c r="P14" i="1" s="1"/>
  <c r="L14" i="1"/>
  <c r="Q14" i="1" s="1"/>
  <c r="M14" i="1"/>
  <c r="R14" i="1" s="1"/>
  <c r="N14" i="1"/>
  <c r="S14" i="1" s="1"/>
  <c r="K15" i="1"/>
  <c r="P15" i="1" s="1"/>
  <c r="L15" i="1"/>
  <c r="Q15" i="1" s="1"/>
  <c r="M15" i="1"/>
  <c r="R15" i="1" s="1"/>
  <c r="N15" i="1"/>
  <c r="S15" i="1" s="1"/>
  <c r="K16" i="1"/>
  <c r="P16" i="1" s="1"/>
  <c r="L16" i="1"/>
  <c r="Q16" i="1" s="1"/>
  <c r="M16" i="1"/>
  <c r="R16" i="1" s="1"/>
  <c r="N16" i="1"/>
  <c r="S16" i="1" s="1"/>
  <c r="K17" i="1"/>
  <c r="P17" i="1" s="1"/>
  <c r="L17" i="1"/>
  <c r="Q17" i="1" s="1"/>
  <c r="M17" i="1"/>
  <c r="R17" i="1" s="1"/>
  <c r="N17" i="1"/>
  <c r="S17" i="1" s="1"/>
  <c r="K18" i="1"/>
  <c r="P18" i="1" s="1"/>
  <c r="L18" i="1"/>
  <c r="Q18" i="1" s="1"/>
  <c r="M18" i="1"/>
  <c r="R18" i="1" s="1"/>
  <c r="N18" i="1"/>
  <c r="S18" i="1" s="1"/>
  <c r="K19" i="1"/>
  <c r="P19" i="1" s="1"/>
  <c r="L19" i="1"/>
  <c r="Q19" i="1" s="1"/>
  <c r="M19" i="1"/>
  <c r="R19" i="1" s="1"/>
  <c r="N19" i="1"/>
  <c r="S19" i="1" s="1"/>
  <c r="K20" i="1"/>
  <c r="P20" i="1" s="1"/>
  <c r="L20" i="1"/>
  <c r="Q20" i="1" s="1"/>
  <c r="M20" i="1"/>
  <c r="R20" i="1" s="1"/>
  <c r="N20" i="1"/>
  <c r="S20" i="1" s="1"/>
  <c r="K21" i="1"/>
  <c r="P21" i="1" s="1"/>
  <c r="L21" i="1"/>
  <c r="Q21" i="1" s="1"/>
  <c r="M21" i="1"/>
  <c r="R21" i="1" s="1"/>
  <c r="N21" i="1"/>
  <c r="S21" i="1" s="1"/>
  <c r="K22" i="1"/>
  <c r="P22" i="1" s="1"/>
  <c r="L22" i="1"/>
  <c r="Q22" i="1" s="1"/>
  <c r="M22" i="1"/>
  <c r="R22" i="1" s="1"/>
  <c r="N22" i="1"/>
  <c r="S22" i="1" s="1"/>
  <c r="K23" i="1"/>
  <c r="L23" i="1"/>
  <c r="J5" i="1"/>
  <c r="O5" i="1" s="1"/>
  <c r="J6" i="1"/>
  <c r="O6" i="1" s="1"/>
  <c r="J7" i="1"/>
  <c r="O7" i="1" s="1"/>
  <c r="J8" i="1"/>
  <c r="O8" i="1" s="1"/>
  <c r="J9" i="1"/>
  <c r="O9" i="1" s="1"/>
  <c r="J10" i="1"/>
  <c r="O10" i="1" s="1"/>
  <c r="J11" i="1"/>
  <c r="O11" i="1" s="1"/>
  <c r="J12" i="1"/>
  <c r="O12" i="1" s="1"/>
  <c r="J13" i="1"/>
  <c r="O13" i="1" s="1"/>
  <c r="J14" i="1"/>
  <c r="O14" i="1" s="1"/>
  <c r="J15" i="1"/>
  <c r="O15" i="1" s="1"/>
  <c r="J16" i="1"/>
  <c r="O16" i="1" s="1"/>
  <c r="J17" i="1"/>
  <c r="O17" i="1" s="1"/>
  <c r="J18" i="1"/>
  <c r="O18" i="1" s="1"/>
  <c r="J19" i="1"/>
  <c r="O19" i="1" s="1"/>
  <c r="J20" i="1"/>
  <c r="O20" i="1" s="1"/>
  <c r="J21" i="1"/>
  <c r="O21" i="1" s="1"/>
  <c r="J22" i="1"/>
  <c r="O22" i="1" s="1"/>
  <c r="J23" i="1"/>
  <c r="J4" i="1"/>
  <c r="O4" i="1" s="1"/>
  <c r="K3" i="1"/>
  <c r="L3" i="1" s="1"/>
  <c r="M3" i="1" s="1"/>
  <c r="N3" i="1" s="1"/>
  <c r="F3" i="1"/>
  <c r="G3" i="1" s="1"/>
  <c r="H3" i="1" s="1"/>
  <c r="I3" i="1" s="1"/>
  <c r="J28" i="1" l="1"/>
  <c r="L26" i="1"/>
  <c r="K28" i="1"/>
  <c r="T29" i="1"/>
  <c r="V26" i="1"/>
  <c r="U26" i="1"/>
  <c r="K26" i="1"/>
  <c r="G26" i="1"/>
  <c r="G28" i="1"/>
  <c r="G27" i="1"/>
  <c r="K27" i="1"/>
  <c r="Q23" i="1"/>
  <c r="Q27" i="1" s="1"/>
  <c r="J27" i="1"/>
  <c r="P23" i="1"/>
  <c r="P27" i="1" s="1"/>
  <c r="T26" i="1"/>
  <c r="U27" i="1"/>
  <c r="H26" i="1"/>
  <c r="H29" i="1"/>
  <c r="H27" i="1"/>
  <c r="M23" i="1"/>
  <c r="H28" i="1"/>
  <c r="W23" i="1"/>
  <c r="J26" i="1"/>
  <c r="L27" i="1"/>
  <c r="V27" i="1"/>
  <c r="T27" i="1"/>
  <c r="V28" i="1"/>
  <c r="L29" i="1"/>
  <c r="U28" i="1"/>
  <c r="O23" i="1"/>
  <c r="K29" i="1"/>
  <c r="L28" i="1"/>
  <c r="T28" i="1"/>
  <c r="V29" i="1"/>
  <c r="J29" i="1"/>
  <c r="U29" i="1"/>
  <c r="P29" i="1" l="1"/>
  <c r="Q26" i="1"/>
  <c r="Q29" i="1"/>
  <c r="Q28" i="1"/>
  <c r="P28" i="1"/>
  <c r="P26" i="1"/>
  <c r="W26" i="1"/>
  <c r="W28" i="1"/>
  <c r="W29" i="1"/>
  <c r="W27" i="1"/>
  <c r="O29" i="1"/>
  <c r="O27" i="1"/>
  <c r="O26" i="1"/>
  <c r="O28" i="1"/>
  <c r="I29" i="1"/>
  <c r="X23" i="1"/>
  <c r="Z23" i="1" s="1"/>
  <c r="I26" i="1"/>
  <c r="I27" i="1"/>
  <c r="N23" i="1"/>
  <c r="I28" i="1"/>
  <c r="M26" i="1"/>
  <c r="M28" i="1"/>
  <c r="M29" i="1"/>
  <c r="R23" i="1"/>
  <c r="M27" i="1"/>
  <c r="N27" i="1" l="1"/>
  <c r="N29" i="1"/>
  <c r="N26" i="1"/>
  <c r="N28" i="1"/>
  <c r="S23" i="1"/>
  <c r="R28" i="1"/>
  <c r="R26" i="1"/>
  <c r="R27" i="1"/>
  <c r="R29" i="1"/>
  <c r="S28" i="1" l="1"/>
  <c r="S27" i="1"/>
  <c r="S26" i="1"/>
  <c r="S29" i="1"/>
</calcChain>
</file>

<file path=xl/sharedStrings.xml><?xml version="1.0" encoding="utf-8"?>
<sst xmlns="http://schemas.openxmlformats.org/spreadsheetml/2006/main" count="53" uniqueCount="40">
  <si>
    <t>Employee Payroll</t>
  </si>
  <si>
    <t>LastName</t>
  </si>
  <si>
    <t>FirstName</t>
  </si>
  <si>
    <t>Hourly Wage</t>
  </si>
  <si>
    <t>Pay</t>
  </si>
  <si>
    <t>Reddy</t>
  </si>
  <si>
    <t>Vinay</t>
  </si>
  <si>
    <t>Anusha</t>
  </si>
  <si>
    <t>Kiran</t>
  </si>
  <si>
    <t>Priyanka</t>
  </si>
  <si>
    <t>Venkatesh</t>
  </si>
  <si>
    <t>Harika</t>
  </si>
  <si>
    <t>Naveen</t>
  </si>
  <si>
    <t>Swathi</t>
  </si>
  <si>
    <t>Rohit</t>
  </si>
  <si>
    <t>Keerthana</t>
  </si>
  <si>
    <t>Praveen</t>
  </si>
  <si>
    <t>Divya</t>
  </si>
  <si>
    <t>Mahesh</t>
  </si>
  <si>
    <t>Lahari</t>
  </si>
  <si>
    <t>Sai</t>
  </si>
  <si>
    <t>Bhavani</t>
  </si>
  <si>
    <t>Tharun</t>
  </si>
  <si>
    <t>Sravani</t>
  </si>
  <si>
    <t>Dinesh</t>
  </si>
  <si>
    <t>Kavya</t>
  </si>
  <si>
    <t>Kumar</t>
  </si>
  <si>
    <t>Rao</t>
  </si>
  <si>
    <t>Naidu</t>
  </si>
  <si>
    <t>Chowdary</t>
  </si>
  <si>
    <t>Varma</t>
  </si>
  <si>
    <t>Krishna</t>
  </si>
  <si>
    <t>Hours Worked</t>
  </si>
  <si>
    <t>Over Time Hours</t>
  </si>
  <si>
    <t>OT Bonus</t>
  </si>
  <si>
    <t>MAX</t>
  </si>
  <si>
    <t>MIN</t>
  </si>
  <si>
    <t>AVERAGE</t>
  </si>
  <si>
    <t>TOTAL</t>
  </si>
  <si>
    <t>Total Amount to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</si>
</sst>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 [$₹-4009]\ * #,##0.0_ ;_ [$₹-4009]\ * \-#,##0.0_ ;_ [$₹-4009]\ * &quot;-&quot;??_ ;_ @_ "/>
    <numFmt numFmtId="171" formatCode="_ [$₹-4009]\ * #,##0.0_ ;_ [$₹-4009]\ * \-#,##0.0_ ;_ [$₹-4009]\ * &quot;-&quot;?_ ;_ @_ 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 wrapText="1"/>
    </xf>
    <xf numFmtId="170" fontId="0" fillId="0" borderId="0" xfId="0" applyNumberFormat="1"/>
    <xf numFmtId="171" fontId="0" fillId="0" borderId="0" xfId="0" applyNumberFormat="1"/>
    <xf numFmtId="2" fontId="0" fillId="0" borderId="0" xfId="0" applyNumberFormat="1"/>
    <xf numFmtId="1" fontId="0" fillId="0" borderId="0" xfId="0" applyNumberForma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171" fontId="0" fillId="3" borderId="0" xfId="0" applyNumberFormat="1" applyFill="1"/>
    <xf numFmtId="16" fontId="0" fillId="4" borderId="0" xfId="0" applyNumberFormat="1" applyFill="1"/>
    <xf numFmtId="170" fontId="0" fillId="4" borderId="0" xfId="0" applyNumberFormat="1" applyFill="1"/>
    <xf numFmtId="16" fontId="0" fillId="5" borderId="0" xfId="0" applyNumberFormat="1" applyFill="1"/>
    <xf numFmtId="0" fontId="0" fillId="5" borderId="0" xfId="0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05299-444B-49BE-8D51-388A8CFFD193}">
  <dimension ref="A1:Z29"/>
  <sheetViews>
    <sheetView tabSelected="1" workbookViewId="0">
      <selection activeCell="C3" sqref="C3"/>
    </sheetView>
  </sheetViews>
  <sheetFormatPr defaultRowHeight="15" x14ac:dyDescent="0.25"/>
  <cols>
    <col min="1" max="1" width="10" customWidth="1"/>
    <col min="2" max="2" width="11.28515625" customWidth="1"/>
    <col min="4" max="4" width="12.85546875" customWidth="1"/>
    <col min="10" max="10" width="15.42578125" customWidth="1"/>
    <col min="15" max="15" width="11" customWidth="1"/>
    <col min="16" max="16" width="11.42578125" customWidth="1"/>
    <col min="17" max="17" width="11.28515625" customWidth="1"/>
    <col min="18" max="18" width="10.5703125" customWidth="1"/>
    <col min="19" max="19" width="12" customWidth="1"/>
    <col min="20" max="20" width="12.42578125" customWidth="1"/>
    <col min="21" max="21" width="12.28515625" customWidth="1"/>
    <col min="22" max="22" width="12.42578125" customWidth="1"/>
    <col min="23" max="23" width="13" customWidth="1"/>
    <col min="24" max="24" width="15.140625" customWidth="1"/>
    <col min="26" max="26" width="18.42578125" customWidth="1"/>
  </cols>
  <sheetData>
    <row r="1" spans="1:26" x14ac:dyDescent="0.25">
      <c r="A1" s="1" t="s">
        <v>0</v>
      </c>
      <c r="B1" s="1"/>
    </row>
    <row r="2" spans="1:26" x14ac:dyDescent="0.25">
      <c r="E2" t="s">
        <v>32</v>
      </c>
      <c r="J2" t="s">
        <v>33</v>
      </c>
      <c r="O2" t="s">
        <v>34</v>
      </c>
      <c r="T2" t="s">
        <v>4</v>
      </c>
    </row>
    <row r="3" spans="1:26" x14ac:dyDescent="0.25">
      <c r="A3" t="s">
        <v>1</v>
      </c>
      <c r="B3" t="s">
        <v>2</v>
      </c>
      <c r="D3" t="s">
        <v>3</v>
      </c>
      <c r="E3" s="13">
        <v>46023</v>
      </c>
      <c r="F3" s="13">
        <f>E3+7</f>
        <v>46030</v>
      </c>
      <c r="G3" s="13">
        <f t="shared" ref="G3:H3" si="0">F3+7</f>
        <v>46037</v>
      </c>
      <c r="H3" s="13">
        <f t="shared" si="0"/>
        <v>46044</v>
      </c>
      <c r="I3" s="13">
        <f t="shared" ref="I3" si="1">H3+7</f>
        <v>46051</v>
      </c>
      <c r="J3" s="7">
        <v>46023</v>
      </c>
      <c r="K3" s="7">
        <f>J3+7</f>
        <v>46030</v>
      </c>
      <c r="L3" s="7">
        <f t="shared" ref="L3:M3" si="2">K3+7</f>
        <v>46037</v>
      </c>
      <c r="M3" s="7">
        <f t="shared" si="2"/>
        <v>46044</v>
      </c>
      <c r="N3" s="7">
        <f>M3+7</f>
        <v>46051</v>
      </c>
      <c r="O3" s="9">
        <v>46023</v>
      </c>
      <c r="P3" s="9">
        <f>O3+7</f>
        <v>46030</v>
      </c>
      <c r="Q3" s="9">
        <f t="shared" ref="Q3:S3" si="3">P3+7</f>
        <v>46037</v>
      </c>
      <c r="R3" s="9">
        <f t="shared" si="3"/>
        <v>46044</v>
      </c>
      <c r="S3" s="9">
        <f t="shared" si="3"/>
        <v>46051</v>
      </c>
      <c r="T3" s="11">
        <v>46023</v>
      </c>
      <c r="U3" s="11">
        <f>T3+7</f>
        <v>46030</v>
      </c>
      <c r="V3" s="11">
        <f t="shared" ref="V3:X3" si="4">U3+7</f>
        <v>46037</v>
      </c>
      <c r="W3" s="11">
        <f t="shared" si="4"/>
        <v>46044</v>
      </c>
      <c r="X3" s="11">
        <f t="shared" si="4"/>
        <v>46051</v>
      </c>
      <c r="Z3" t="s">
        <v>39</v>
      </c>
    </row>
    <row r="4" spans="1:26" x14ac:dyDescent="0.25">
      <c r="A4" t="s">
        <v>5</v>
      </c>
      <c r="B4" t="s">
        <v>6</v>
      </c>
      <c r="D4" s="3">
        <v>250</v>
      </c>
      <c r="E4" s="14">
        <v>38</v>
      </c>
      <c r="F4" s="14">
        <v>42</v>
      </c>
      <c r="G4" s="14">
        <v>40</v>
      </c>
      <c r="H4" s="14">
        <v>45</v>
      </c>
      <c r="I4" s="14">
        <v>39</v>
      </c>
      <c r="J4" s="8">
        <f>IF(E4&gt;40,E4-40,0)</f>
        <v>0</v>
      </c>
      <c r="K4" s="8">
        <f t="shared" ref="K4:N19" si="5">IF(F4&gt;40,F4-40,0)</f>
        <v>2</v>
      </c>
      <c r="L4" s="8">
        <f t="shared" si="5"/>
        <v>0</v>
      </c>
      <c r="M4" s="8">
        <f t="shared" si="5"/>
        <v>5</v>
      </c>
      <c r="N4" s="8">
        <f t="shared" si="5"/>
        <v>0</v>
      </c>
      <c r="O4" s="10">
        <f>0.5*$D4*J4</f>
        <v>0</v>
      </c>
      <c r="P4" s="10">
        <f t="shared" ref="P4:S19" si="6">0.5*$D4*K4</f>
        <v>250</v>
      </c>
      <c r="Q4" s="10">
        <f t="shared" si="6"/>
        <v>0</v>
      </c>
      <c r="R4" s="10">
        <f t="shared" si="6"/>
        <v>625</v>
      </c>
      <c r="S4" s="10">
        <f t="shared" si="6"/>
        <v>0</v>
      </c>
      <c r="T4" s="12">
        <f>$D4*E4</f>
        <v>9500</v>
      </c>
      <c r="U4" s="12">
        <f>$D4*F4</f>
        <v>10500</v>
      </c>
      <c r="V4" s="12">
        <f>$D4*G4</f>
        <v>10000</v>
      </c>
      <c r="W4" s="12">
        <f>$D4*H4</f>
        <v>11250</v>
      </c>
      <c r="X4" s="12">
        <f>$D4*I4</f>
        <v>9750</v>
      </c>
      <c r="Z4" s="3">
        <f>SUM(W4:Y4)</f>
        <v>21000</v>
      </c>
    </row>
    <row r="5" spans="1:26" x14ac:dyDescent="0.25">
      <c r="A5" t="s">
        <v>5</v>
      </c>
      <c r="B5" t="s">
        <v>7</v>
      </c>
      <c r="D5" s="3">
        <v>220</v>
      </c>
      <c r="E5" s="14">
        <v>42</v>
      </c>
      <c r="F5" s="14">
        <v>39</v>
      </c>
      <c r="G5" s="14">
        <v>44</v>
      </c>
      <c r="H5" s="14">
        <v>40</v>
      </c>
      <c r="I5" s="14">
        <v>41</v>
      </c>
      <c r="J5" s="8">
        <f t="shared" ref="J5:J23" si="7">IF(E5&gt;40,E5-40,0)</f>
        <v>2</v>
      </c>
      <c r="K5" s="8">
        <f t="shared" si="5"/>
        <v>0</v>
      </c>
      <c r="L5" s="8">
        <f t="shared" si="5"/>
        <v>4</v>
      </c>
      <c r="M5" s="8">
        <f t="shared" si="5"/>
        <v>0</v>
      </c>
      <c r="N5" s="8">
        <f t="shared" si="5"/>
        <v>1</v>
      </c>
      <c r="O5" s="10">
        <f t="shared" ref="O5:O23" si="8">0.5*$D5*J5</f>
        <v>220</v>
      </c>
      <c r="P5" s="10">
        <f t="shared" si="6"/>
        <v>0</v>
      </c>
      <c r="Q5" s="10">
        <f t="shared" si="6"/>
        <v>440</v>
      </c>
      <c r="R5" s="10">
        <f t="shared" si="6"/>
        <v>0</v>
      </c>
      <c r="S5" s="10">
        <f t="shared" si="6"/>
        <v>110</v>
      </c>
      <c r="T5" s="12">
        <f t="shared" ref="T5:T23" si="9">$D5*E5</f>
        <v>9240</v>
      </c>
      <c r="U5" s="12">
        <f>$D5*F5</f>
        <v>8580</v>
      </c>
      <c r="V5" s="12">
        <f>$D5*G5</f>
        <v>9680</v>
      </c>
      <c r="W5" s="12">
        <f>$D5*H5</f>
        <v>8800</v>
      </c>
      <c r="X5" s="12">
        <f>$D5*I5</f>
        <v>9020</v>
      </c>
      <c r="Z5" s="3">
        <f>SUM(W5:Y5)</f>
        <v>17820</v>
      </c>
    </row>
    <row r="6" spans="1:26" x14ac:dyDescent="0.25">
      <c r="A6" t="s">
        <v>26</v>
      </c>
      <c r="B6" t="s">
        <v>8</v>
      </c>
      <c r="D6" s="3">
        <v>275</v>
      </c>
      <c r="E6" s="14">
        <v>40</v>
      </c>
      <c r="F6" s="14">
        <v>45</v>
      </c>
      <c r="G6" s="14">
        <v>38</v>
      </c>
      <c r="H6" s="14">
        <v>42</v>
      </c>
      <c r="I6" s="14">
        <v>40</v>
      </c>
      <c r="J6" s="8">
        <f t="shared" si="7"/>
        <v>0</v>
      </c>
      <c r="K6" s="8">
        <f t="shared" si="5"/>
        <v>5</v>
      </c>
      <c r="L6" s="8">
        <f t="shared" si="5"/>
        <v>0</v>
      </c>
      <c r="M6" s="8">
        <f t="shared" si="5"/>
        <v>2</v>
      </c>
      <c r="N6" s="8">
        <f t="shared" si="5"/>
        <v>0</v>
      </c>
      <c r="O6" s="10">
        <f t="shared" si="8"/>
        <v>0</v>
      </c>
      <c r="P6" s="10">
        <f t="shared" si="6"/>
        <v>687.5</v>
      </c>
      <c r="Q6" s="10">
        <f t="shared" si="6"/>
        <v>0</v>
      </c>
      <c r="R6" s="10">
        <f t="shared" si="6"/>
        <v>275</v>
      </c>
      <c r="S6" s="10">
        <f t="shared" si="6"/>
        <v>0</v>
      </c>
      <c r="T6" s="12">
        <f t="shared" si="9"/>
        <v>11000</v>
      </c>
      <c r="U6" s="12">
        <f>$D6*F6</f>
        <v>12375</v>
      </c>
      <c r="V6" s="12">
        <f>$D6*G6</f>
        <v>10450</v>
      </c>
      <c r="W6" s="12">
        <f>$D6*H6</f>
        <v>11550</v>
      </c>
      <c r="X6" s="12">
        <f>$D6*I6</f>
        <v>11000</v>
      </c>
      <c r="Z6" s="3">
        <f>SUM(W6:Y6)</f>
        <v>22550</v>
      </c>
    </row>
    <row r="7" spans="1:26" x14ac:dyDescent="0.25">
      <c r="A7" t="s">
        <v>27</v>
      </c>
      <c r="B7" t="s">
        <v>9</v>
      </c>
      <c r="D7" s="3">
        <v>240</v>
      </c>
      <c r="E7" s="14">
        <v>45</v>
      </c>
      <c r="F7" s="14">
        <v>40</v>
      </c>
      <c r="G7" s="14">
        <v>46</v>
      </c>
      <c r="H7" s="14">
        <v>39</v>
      </c>
      <c r="I7" s="14">
        <v>43</v>
      </c>
      <c r="J7" s="8">
        <f t="shared" si="7"/>
        <v>5</v>
      </c>
      <c r="K7" s="8">
        <f t="shared" si="5"/>
        <v>0</v>
      </c>
      <c r="L7" s="8">
        <f t="shared" si="5"/>
        <v>6</v>
      </c>
      <c r="M7" s="8">
        <f t="shared" si="5"/>
        <v>0</v>
      </c>
      <c r="N7" s="8">
        <f t="shared" si="5"/>
        <v>3</v>
      </c>
      <c r="O7" s="10">
        <f t="shared" si="8"/>
        <v>600</v>
      </c>
      <c r="P7" s="10">
        <f t="shared" si="6"/>
        <v>0</v>
      </c>
      <c r="Q7" s="10">
        <f t="shared" si="6"/>
        <v>720</v>
      </c>
      <c r="R7" s="10">
        <f t="shared" si="6"/>
        <v>0</v>
      </c>
      <c r="S7" s="10">
        <f t="shared" si="6"/>
        <v>360</v>
      </c>
      <c r="T7" s="12">
        <f t="shared" si="9"/>
        <v>10800</v>
      </c>
      <c r="U7" s="12">
        <f>$D7*F7</f>
        <v>9600</v>
      </c>
      <c r="V7" s="12">
        <f>$D7*G7</f>
        <v>11040</v>
      </c>
      <c r="W7" s="12">
        <f>$D7*H7</f>
        <v>9360</v>
      </c>
      <c r="X7" s="12">
        <f>$D7*I7</f>
        <v>10320</v>
      </c>
      <c r="Z7" s="3">
        <f>SUM(W7:Y7)</f>
        <v>19680</v>
      </c>
    </row>
    <row r="8" spans="1:26" x14ac:dyDescent="0.25">
      <c r="A8" t="s">
        <v>28</v>
      </c>
      <c r="B8" t="s">
        <v>10</v>
      </c>
      <c r="D8" s="3">
        <v>300</v>
      </c>
      <c r="E8" s="14">
        <v>36</v>
      </c>
      <c r="F8" s="14">
        <v>42</v>
      </c>
      <c r="G8" s="14">
        <v>40</v>
      </c>
      <c r="H8" s="14">
        <v>48</v>
      </c>
      <c r="I8" s="14">
        <v>37</v>
      </c>
      <c r="J8" s="8">
        <f t="shared" si="7"/>
        <v>0</v>
      </c>
      <c r="K8" s="8">
        <f t="shared" si="5"/>
        <v>2</v>
      </c>
      <c r="L8" s="8">
        <f t="shared" si="5"/>
        <v>0</v>
      </c>
      <c r="M8" s="8">
        <f t="shared" si="5"/>
        <v>8</v>
      </c>
      <c r="N8" s="8">
        <f t="shared" si="5"/>
        <v>0</v>
      </c>
      <c r="O8" s="10">
        <f t="shared" si="8"/>
        <v>0</v>
      </c>
      <c r="P8" s="10">
        <f t="shared" si="6"/>
        <v>300</v>
      </c>
      <c r="Q8" s="10">
        <f t="shared" si="6"/>
        <v>0</v>
      </c>
      <c r="R8" s="10">
        <f t="shared" si="6"/>
        <v>1200</v>
      </c>
      <c r="S8" s="10">
        <f t="shared" si="6"/>
        <v>0</v>
      </c>
      <c r="T8" s="12">
        <f t="shared" si="9"/>
        <v>10800</v>
      </c>
      <c r="U8" s="12">
        <f>$D8*F8</f>
        <v>12600</v>
      </c>
      <c r="V8" s="12">
        <f>$D8*G8</f>
        <v>12000</v>
      </c>
      <c r="W8" s="12">
        <f>$D8*H8</f>
        <v>14400</v>
      </c>
      <c r="X8" s="12">
        <f>$D8*I8</f>
        <v>11100</v>
      </c>
      <c r="Z8" s="3">
        <f>SUM(W8:Y8)</f>
        <v>25500</v>
      </c>
    </row>
    <row r="9" spans="1:26" x14ac:dyDescent="0.25">
      <c r="A9" t="s">
        <v>5</v>
      </c>
      <c r="B9" t="s">
        <v>11</v>
      </c>
      <c r="D9" s="3">
        <v>225</v>
      </c>
      <c r="E9" s="14">
        <v>41</v>
      </c>
      <c r="F9" s="14">
        <v>38</v>
      </c>
      <c r="G9" s="14">
        <v>43</v>
      </c>
      <c r="H9" s="14">
        <v>40</v>
      </c>
      <c r="I9" s="14">
        <v>45</v>
      </c>
      <c r="J9" s="8">
        <f t="shared" si="7"/>
        <v>1</v>
      </c>
      <c r="K9" s="8">
        <f t="shared" si="5"/>
        <v>0</v>
      </c>
      <c r="L9" s="8">
        <f t="shared" si="5"/>
        <v>3</v>
      </c>
      <c r="M9" s="8">
        <f t="shared" si="5"/>
        <v>0</v>
      </c>
      <c r="N9" s="8">
        <f t="shared" si="5"/>
        <v>5</v>
      </c>
      <c r="O9" s="10">
        <f t="shared" si="8"/>
        <v>112.5</v>
      </c>
      <c r="P9" s="10">
        <f t="shared" si="6"/>
        <v>0</v>
      </c>
      <c r="Q9" s="10">
        <f t="shared" si="6"/>
        <v>337.5</v>
      </c>
      <c r="R9" s="10">
        <f t="shared" si="6"/>
        <v>0</v>
      </c>
      <c r="S9" s="10">
        <f t="shared" si="6"/>
        <v>562.5</v>
      </c>
      <c r="T9" s="12">
        <f t="shared" si="9"/>
        <v>9225</v>
      </c>
      <c r="U9" s="12">
        <f>$D9*F9</f>
        <v>8550</v>
      </c>
      <c r="V9" s="12">
        <f>$D9*G9</f>
        <v>9675</v>
      </c>
      <c r="W9" s="12">
        <f>$D9*H9</f>
        <v>9000</v>
      </c>
      <c r="X9" s="12">
        <f>$D9*I9</f>
        <v>10125</v>
      </c>
      <c r="Z9" s="3">
        <f>SUM(W9:Y9)</f>
        <v>19125</v>
      </c>
    </row>
    <row r="10" spans="1:26" x14ac:dyDescent="0.25">
      <c r="A10" t="s">
        <v>29</v>
      </c>
      <c r="B10" t="s">
        <v>12</v>
      </c>
      <c r="D10" s="3">
        <v>280</v>
      </c>
      <c r="E10" s="14">
        <v>48</v>
      </c>
      <c r="F10" s="14">
        <v>44</v>
      </c>
      <c r="G10" s="14">
        <v>40</v>
      </c>
      <c r="H10" s="14">
        <v>52</v>
      </c>
      <c r="I10" s="14">
        <v>46</v>
      </c>
      <c r="J10" s="8">
        <f t="shared" si="7"/>
        <v>8</v>
      </c>
      <c r="K10" s="8">
        <f t="shared" si="5"/>
        <v>4</v>
      </c>
      <c r="L10" s="8">
        <f t="shared" si="5"/>
        <v>0</v>
      </c>
      <c r="M10" s="8">
        <f t="shared" si="5"/>
        <v>12</v>
      </c>
      <c r="N10" s="8">
        <f t="shared" si="5"/>
        <v>6</v>
      </c>
      <c r="O10" s="10">
        <f t="shared" si="8"/>
        <v>1120</v>
      </c>
      <c r="P10" s="10">
        <f t="shared" si="6"/>
        <v>560</v>
      </c>
      <c r="Q10" s="10">
        <f t="shared" si="6"/>
        <v>0</v>
      </c>
      <c r="R10" s="10">
        <f t="shared" si="6"/>
        <v>1680</v>
      </c>
      <c r="S10" s="10">
        <f t="shared" si="6"/>
        <v>840</v>
      </c>
      <c r="T10" s="12">
        <f t="shared" si="9"/>
        <v>13440</v>
      </c>
      <c r="U10" s="12">
        <f>$D10*F10</f>
        <v>12320</v>
      </c>
      <c r="V10" s="12">
        <f>$D10*G10</f>
        <v>11200</v>
      </c>
      <c r="W10" s="12">
        <f>$D10*H10</f>
        <v>14560</v>
      </c>
      <c r="X10" s="12">
        <f>$D10*I10</f>
        <v>12880</v>
      </c>
      <c r="Z10" s="3">
        <f>SUM(W10:Y10)</f>
        <v>27440</v>
      </c>
    </row>
    <row r="11" spans="1:26" x14ac:dyDescent="0.25">
      <c r="A11" t="s">
        <v>28</v>
      </c>
      <c r="B11" t="s">
        <v>13</v>
      </c>
      <c r="D11" s="3">
        <v>235</v>
      </c>
      <c r="E11" s="14">
        <v>39</v>
      </c>
      <c r="F11" s="14">
        <v>41</v>
      </c>
      <c r="G11" s="14">
        <v>37</v>
      </c>
      <c r="H11" s="14">
        <v>40</v>
      </c>
      <c r="I11" s="14">
        <v>42</v>
      </c>
      <c r="J11" s="8">
        <f t="shared" si="7"/>
        <v>0</v>
      </c>
      <c r="K11" s="8">
        <f t="shared" si="5"/>
        <v>1</v>
      </c>
      <c r="L11" s="8">
        <f t="shared" si="5"/>
        <v>0</v>
      </c>
      <c r="M11" s="8">
        <f t="shared" si="5"/>
        <v>0</v>
      </c>
      <c r="N11" s="8">
        <f t="shared" si="5"/>
        <v>2</v>
      </c>
      <c r="O11" s="10">
        <f t="shared" si="8"/>
        <v>0</v>
      </c>
      <c r="P11" s="10">
        <f t="shared" si="6"/>
        <v>117.5</v>
      </c>
      <c r="Q11" s="10">
        <f t="shared" si="6"/>
        <v>0</v>
      </c>
      <c r="R11" s="10">
        <f t="shared" si="6"/>
        <v>0</v>
      </c>
      <c r="S11" s="10">
        <f t="shared" si="6"/>
        <v>235</v>
      </c>
      <c r="T11" s="12">
        <f t="shared" si="9"/>
        <v>9165</v>
      </c>
      <c r="U11" s="12">
        <f>$D11*F11</f>
        <v>9635</v>
      </c>
      <c r="V11" s="12">
        <f>$D11*G11</f>
        <v>8695</v>
      </c>
      <c r="W11" s="12">
        <f>$D11*H11</f>
        <v>9400</v>
      </c>
      <c r="X11" s="12">
        <f>$D11*I11</f>
        <v>9870</v>
      </c>
      <c r="Z11" s="3">
        <f>SUM(W11:Y11)</f>
        <v>19270</v>
      </c>
    </row>
    <row r="12" spans="1:26" x14ac:dyDescent="0.25">
      <c r="A12" t="s">
        <v>30</v>
      </c>
      <c r="B12" t="s">
        <v>14</v>
      </c>
      <c r="D12" s="3">
        <v>320</v>
      </c>
      <c r="E12" s="14">
        <v>44</v>
      </c>
      <c r="F12" s="14">
        <v>46</v>
      </c>
      <c r="G12" s="14">
        <v>42</v>
      </c>
      <c r="H12" s="14">
        <v>40</v>
      </c>
      <c r="I12" s="14">
        <v>48</v>
      </c>
      <c r="J12" s="8">
        <f t="shared" si="7"/>
        <v>4</v>
      </c>
      <c r="K12" s="8">
        <f t="shared" si="5"/>
        <v>6</v>
      </c>
      <c r="L12" s="8">
        <f t="shared" si="5"/>
        <v>2</v>
      </c>
      <c r="M12" s="8">
        <f t="shared" si="5"/>
        <v>0</v>
      </c>
      <c r="N12" s="8">
        <f t="shared" si="5"/>
        <v>8</v>
      </c>
      <c r="O12" s="10">
        <f t="shared" si="8"/>
        <v>640</v>
      </c>
      <c r="P12" s="10">
        <f t="shared" si="6"/>
        <v>960</v>
      </c>
      <c r="Q12" s="10">
        <f t="shared" si="6"/>
        <v>320</v>
      </c>
      <c r="R12" s="10">
        <f t="shared" si="6"/>
        <v>0</v>
      </c>
      <c r="S12" s="10">
        <f t="shared" si="6"/>
        <v>1280</v>
      </c>
      <c r="T12" s="12">
        <f t="shared" si="9"/>
        <v>14080</v>
      </c>
      <c r="U12" s="12">
        <f>$D12*F12</f>
        <v>14720</v>
      </c>
      <c r="V12" s="12">
        <f>$D12*G12</f>
        <v>13440</v>
      </c>
      <c r="W12" s="12">
        <f>$D12*H12</f>
        <v>12800</v>
      </c>
      <c r="X12" s="12">
        <f>$D12*I12</f>
        <v>15360</v>
      </c>
      <c r="Z12" s="3">
        <f>SUM(W12:Y12)</f>
        <v>28160</v>
      </c>
    </row>
    <row r="13" spans="1:26" x14ac:dyDescent="0.25">
      <c r="A13" t="s">
        <v>27</v>
      </c>
      <c r="B13" t="s">
        <v>15</v>
      </c>
      <c r="D13" s="3">
        <v>260</v>
      </c>
      <c r="E13" s="14">
        <v>40</v>
      </c>
      <c r="F13" s="14">
        <v>39</v>
      </c>
      <c r="G13" s="14">
        <v>45</v>
      </c>
      <c r="H13" s="14">
        <v>43</v>
      </c>
      <c r="I13" s="14">
        <v>40</v>
      </c>
      <c r="J13" s="8">
        <f t="shared" si="7"/>
        <v>0</v>
      </c>
      <c r="K13" s="8">
        <f t="shared" si="5"/>
        <v>0</v>
      </c>
      <c r="L13" s="8">
        <f t="shared" si="5"/>
        <v>5</v>
      </c>
      <c r="M13" s="8">
        <f t="shared" si="5"/>
        <v>3</v>
      </c>
      <c r="N13" s="8">
        <f t="shared" si="5"/>
        <v>0</v>
      </c>
      <c r="O13" s="10">
        <f t="shared" si="8"/>
        <v>0</v>
      </c>
      <c r="P13" s="10">
        <f t="shared" si="6"/>
        <v>0</v>
      </c>
      <c r="Q13" s="10">
        <f t="shared" si="6"/>
        <v>650</v>
      </c>
      <c r="R13" s="10">
        <f t="shared" si="6"/>
        <v>390</v>
      </c>
      <c r="S13" s="10">
        <f t="shared" si="6"/>
        <v>0</v>
      </c>
      <c r="T13" s="12">
        <f t="shared" si="9"/>
        <v>10400</v>
      </c>
      <c r="U13" s="12">
        <f>$D13*F13</f>
        <v>10140</v>
      </c>
      <c r="V13" s="12">
        <f>$D13*G13</f>
        <v>11700</v>
      </c>
      <c r="W13" s="12">
        <f>$D13*H13</f>
        <v>11180</v>
      </c>
      <c r="X13" s="12">
        <f>$D13*I13</f>
        <v>10400</v>
      </c>
      <c r="Z13" s="3">
        <f>SUM(W13:Y13)</f>
        <v>21580</v>
      </c>
    </row>
    <row r="14" spans="1:26" x14ac:dyDescent="0.25">
      <c r="A14" t="s">
        <v>5</v>
      </c>
      <c r="B14" t="s">
        <v>16</v>
      </c>
      <c r="D14" s="3">
        <v>290</v>
      </c>
      <c r="E14" s="14">
        <v>46</v>
      </c>
      <c r="F14" s="14">
        <v>42</v>
      </c>
      <c r="G14" s="14">
        <v>48</v>
      </c>
      <c r="H14" s="14">
        <v>40</v>
      </c>
      <c r="I14" s="14">
        <v>44</v>
      </c>
      <c r="J14" s="8">
        <f t="shared" si="7"/>
        <v>6</v>
      </c>
      <c r="K14" s="8">
        <f t="shared" si="5"/>
        <v>2</v>
      </c>
      <c r="L14" s="8">
        <f t="shared" si="5"/>
        <v>8</v>
      </c>
      <c r="M14" s="8">
        <f t="shared" si="5"/>
        <v>0</v>
      </c>
      <c r="N14" s="8">
        <f t="shared" si="5"/>
        <v>4</v>
      </c>
      <c r="O14" s="10">
        <f t="shared" si="8"/>
        <v>870</v>
      </c>
      <c r="P14" s="10">
        <f t="shared" si="6"/>
        <v>290</v>
      </c>
      <c r="Q14" s="10">
        <f t="shared" si="6"/>
        <v>1160</v>
      </c>
      <c r="R14" s="10">
        <f t="shared" si="6"/>
        <v>0</v>
      </c>
      <c r="S14" s="10">
        <f t="shared" si="6"/>
        <v>580</v>
      </c>
      <c r="T14" s="12">
        <f t="shared" si="9"/>
        <v>13340</v>
      </c>
      <c r="U14" s="12">
        <f>$D14*F14</f>
        <v>12180</v>
      </c>
      <c r="V14" s="12">
        <f>$D14*G14</f>
        <v>13920</v>
      </c>
      <c r="W14" s="12">
        <f>$D14*H14</f>
        <v>11600</v>
      </c>
      <c r="X14" s="12">
        <f>$D14*I14</f>
        <v>12760</v>
      </c>
      <c r="Z14" s="3">
        <f>SUM(W14:Y14)</f>
        <v>24360</v>
      </c>
    </row>
    <row r="15" spans="1:26" x14ac:dyDescent="0.25">
      <c r="A15" t="s">
        <v>26</v>
      </c>
      <c r="B15" t="s">
        <v>17</v>
      </c>
      <c r="D15" s="3">
        <v>245</v>
      </c>
      <c r="E15" s="14">
        <v>35</v>
      </c>
      <c r="F15" s="14">
        <v>40</v>
      </c>
      <c r="G15" s="14">
        <v>38</v>
      </c>
      <c r="H15" s="14">
        <v>42</v>
      </c>
      <c r="I15" s="14">
        <v>39</v>
      </c>
      <c r="J15" s="8">
        <f t="shared" si="7"/>
        <v>0</v>
      </c>
      <c r="K15" s="8">
        <f t="shared" si="5"/>
        <v>0</v>
      </c>
      <c r="L15" s="8">
        <f t="shared" si="5"/>
        <v>0</v>
      </c>
      <c r="M15" s="8">
        <f t="shared" si="5"/>
        <v>2</v>
      </c>
      <c r="N15" s="8">
        <f t="shared" si="5"/>
        <v>0</v>
      </c>
      <c r="O15" s="10">
        <f t="shared" si="8"/>
        <v>0</v>
      </c>
      <c r="P15" s="10">
        <f t="shared" si="6"/>
        <v>0</v>
      </c>
      <c r="Q15" s="10">
        <f t="shared" si="6"/>
        <v>0</v>
      </c>
      <c r="R15" s="10">
        <f t="shared" si="6"/>
        <v>245</v>
      </c>
      <c r="S15" s="10">
        <f t="shared" si="6"/>
        <v>0</v>
      </c>
      <c r="T15" s="12">
        <f t="shared" si="9"/>
        <v>8575</v>
      </c>
      <c r="U15" s="12">
        <f>$D15*F15</f>
        <v>9800</v>
      </c>
      <c r="V15" s="12">
        <f>$D15*G15</f>
        <v>9310</v>
      </c>
      <c r="W15" s="12">
        <f>$D15*H15</f>
        <v>10290</v>
      </c>
      <c r="X15" s="12">
        <f>$D15*I15</f>
        <v>9555</v>
      </c>
      <c r="Z15" s="3">
        <f>SUM(W15:Y15)</f>
        <v>19845</v>
      </c>
    </row>
    <row r="16" spans="1:26" x14ac:dyDescent="0.25">
      <c r="A16" t="s">
        <v>28</v>
      </c>
      <c r="B16" t="s">
        <v>18</v>
      </c>
      <c r="D16" s="3">
        <v>310</v>
      </c>
      <c r="E16" s="14">
        <v>50</v>
      </c>
      <c r="F16" s="14">
        <v>45</v>
      </c>
      <c r="G16" s="14">
        <v>40</v>
      </c>
      <c r="H16" s="14">
        <v>48</v>
      </c>
      <c r="I16" s="14">
        <v>52</v>
      </c>
      <c r="J16" s="8">
        <f t="shared" si="7"/>
        <v>10</v>
      </c>
      <c r="K16" s="8">
        <f t="shared" si="5"/>
        <v>5</v>
      </c>
      <c r="L16" s="8">
        <f t="shared" si="5"/>
        <v>0</v>
      </c>
      <c r="M16" s="8">
        <f t="shared" si="5"/>
        <v>8</v>
      </c>
      <c r="N16" s="8">
        <f t="shared" si="5"/>
        <v>12</v>
      </c>
      <c r="O16" s="10">
        <f t="shared" si="8"/>
        <v>1550</v>
      </c>
      <c r="P16" s="10">
        <f t="shared" si="6"/>
        <v>775</v>
      </c>
      <c r="Q16" s="10">
        <f t="shared" si="6"/>
        <v>0</v>
      </c>
      <c r="R16" s="10">
        <f t="shared" si="6"/>
        <v>1240</v>
      </c>
      <c r="S16" s="10">
        <f t="shared" si="6"/>
        <v>1860</v>
      </c>
      <c r="T16" s="12">
        <f t="shared" si="9"/>
        <v>15500</v>
      </c>
      <c r="U16" s="12">
        <f>$D16*F16</f>
        <v>13950</v>
      </c>
      <c r="V16" s="12">
        <f>$D16*G16</f>
        <v>12400</v>
      </c>
      <c r="W16" s="12">
        <f>$D16*H16</f>
        <v>14880</v>
      </c>
      <c r="X16" s="12">
        <f>$D16*I16</f>
        <v>16120</v>
      </c>
      <c r="Z16" s="3">
        <f>SUM(W16:Y16)</f>
        <v>31000</v>
      </c>
    </row>
    <row r="17" spans="1:26" x14ac:dyDescent="0.25">
      <c r="A17" t="s">
        <v>5</v>
      </c>
      <c r="B17" t="s">
        <v>19</v>
      </c>
      <c r="D17" s="3">
        <v>230</v>
      </c>
      <c r="E17" s="14">
        <v>42</v>
      </c>
      <c r="F17" s="14">
        <v>38</v>
      </c>
      <c r="G17" s="14">
        <v>44</v>
      </c>
      <c r="H17" s="14">
        <v>41</v>
      </c>
      <c r="I17" s="14">
        <v>40</v>
      </c>
      <c r="J17" s="8">
        <f t="shared" si="7"/>
        <v>2</v>
      </c>
      <c r="K17" s="8">
        <f t="shared" si="5"/>
        <v>0</v>
      </c>
      <c r="L17" s="8">
        <f t="shared" si="5"/>
        <v>4</v>
      </c>
      <c r="M17" s="8">
        <f t="shared" si="5"/>
        <v>1</v>
      </c>
      <c r="N17" s="8">
        <f t="shared" si="5"/>
        <v>0</v>
      </c>
      <c r="O17" s="10">
        <f t="shared" si="8"/>
        <v>230</v>
      </c>
      <c r="P17" s="10">
        <f t="shared" si="6"/>
        <v>0</v>
      </c>
      <c r="Q17" s="10">
        <f t="shared" si="6"/>
        <v>460</v>
      </c>
      <c r="R17" s="10">
        <f t="shared" si="6"/>
        <v>115</v>
      </c>
      <c r="S17" s="10">
        <f t="shared" si="6"/>
        <v>0</v>
      </c>
      <c r="T17" s="12">
        <f t="shared" si="9"/>
        <v>9660</v>
      </c>
      <c r="U17" s="12">
        <f>$D17*F17</f>
        <v>8740</v>
      </c>
      <c r="V17" s="12">
        <f>$D17*G17</f>
        <v>10120</v>
      </c>
      <c r="W17" s="12">
        <f>$D17*H17</f>
        <v>9430</v>
      </c>
      <c r="X17" s="12">
        <f>$D17*I17</f>
        <v>9200</v>
      </c>
      <c r="Z17" s="3">
        <f>SUM(W17:Y17)</f>
        <v>18630</v>
      </c>
    </row>
    <row r="18" spans="1:26" x14ac:dyDescent="0.25">
      <c r="A18" t="s">
        <v>31</v>
      </c>
      <c r="B18" t="s">
        <v>20</v>
      </c>
      <c r="D18" s="3">
        <v>270</v>
      </c>
      <c r="E18" s="14">
        <v>40</v>
      </c>
      <c r="F18" s="14">
        <v>43</v>
      </c>
      <c r="G18" s="14">
        <v>39</v>
      </c>
      <c r="H18" s="14">
        <v>46</v>
      </c>
      <c r="I18" s="14">
        <v>42</v>
      </c>
      <c r="J18" s="8">
        <f t="shared" si="7"/>
        <v>0</v>
      </c>
      <c r="K18" s="8">
        <f t="shared" si="5"/>
        <v>3</v>
      </c>
      <c r="L18" s="8">
        <f t="shared" si="5"/>
        <v>0</v>
      </c>
      <c r="M18" s="8">
        <f t="shared" si="5"/>
        <v>6</v>
      </c>
      <c r="N18" s="8">
        <f t="shared" si="5"/>
        <v>2</v>
      </c>
      <c r="O18" s="10">
        <f t="shared" si="8"/>
        <v>0</v>
      </c>
      <c r="P18" s="10">
        <f t="shared" si="6"/>
        <v>405</v>
      </c>
      <c r="Q18" s="10">
        <f t="shared" si="6"/>
        <v>0</v>
      </c>
      <c r="R18" s="10">
        <f t="shared" si="6"/>
        <v>810</v>
      </c>
      <c r="S18" s="10">
        <f t="shared" si="6"/>
        <v>270</v>
      </c>
      <c r="T18" s="12">
        <f t="shared" si="9"/>
        <v>10800</v>
      </c>
      <c r="U18" s="12">
        <f>$D18*F18</f>
        <v>11610</v>
      </c>
      <c r="V18" s="12">
        <f>$D18*G18</f>
        <v>10530</v>
      </c>
      <c r="W18" s="12">
        <f>$D18*H18</f>
        <v>12420</v>
      </c>
      <c r="X18" s="12">
        <f>$D18*I18</f>
        <v>11340</v>
      </c>
      <c r="Z18" s="3">
        <f>SUM(W18:Y18)</f>
        <v>23760</v>
      </c>
    </row>
    <row r="19" spans="1:26" x14ac:dyDescent="0.25">
      <c r="A19" t="s">
        <v>27</v>
      </c>
      <c r="B19" t="s">
        <v>21</v>
      </c>
      <c r="D19" s="3">
        <v>215</v>
      </c>
      <c r="E19" s="14">
        <v>37</v>
      </c>
      <c r="F19" s="14">
        <v>40</v>
      </c>
      <c r="G19" s="14">
        <v>35</v>
      </c>
      <c r="H19" s="14">
        <v>42</v>
      </c>
      <c r="I19" s="14">
        <v>38</v>
      </c>
      <c r="J19" s="8">
        <f t="shared" si="7"/>
        <v>0</v>
      </c>
      <c r="K19" s="8">
        <f t="shared" si="5"/>
        <v>0</v>
      </c>
      <c r="L19" s="8">
        <f t="shared" si="5"/>
        <v>0</v>
      </c>
      <c r="M19" s="8">
        <f t="shared" si="5"/>
        <v>2</v>
      </c>
      <c r="N19" s="8">
        <f t="shared" si="5"/>
        <v>0</v>
      </c>
      <c r="O19" s="10">
        <f t="shared" si="8"/>
        <v>0</v>
      </c>
      <c r="P19" s="10">
        <f t="shared" si="6"/>
        <v>0</v>
      </c>
      <c r="Q19" s="10">
        <f t="shared" si="6"/>
        <v>0</v>
      </c>
      <c r="R19" s="10">
        <f t="shared" si="6"/>
        <v>215</v>
      </c>
      <c r="S19" s="10">
        <f t="shared" si="6"/>
        <v>0</v>
      </c>
      <c r="T19" s="12">
        <f t="shared" si="9"/>
        <v>7955</v>
      </c>
      <c r="U19" s="12">
        <f>$D19*F19</f>
        <v>8600</v>
      </c>
      <c r="V19" s="12">
        <f>$D19*G19</f>
        <v>7525</v>
      </c>
      <c r="W19" s="12">
        <f>$D19*H19</f>
        <v>9030</v>
      </c>
      <c r="X19" s="12">
        <f>$D19*I19</f>
        <v>8170</v>
      </c>
      <c r="Z19" s="3">
        <f>SUM(W19:Y19)</f>
        <v>17200</v>
      </c>
    </row>
    <row r="20" spans="1:26" x14ac:dyDescent="0.25">
      <c r="A20" t="s">
        <v>30</v>
      </c>
      <c r="B20" t="s">
        <v>22</v>
      </c>
      <c r="D20" s="3">
        <v>285</v>
      </c>
      <c r="E20" s="14">
        <v>47</v>
      </c>
      <c r="F20" s="14">
        <v>44</v>
      </c>
      <c r="G20" s="14">
        <v>40</v>
      </c>
      <c r="H20" s="14">
        <v>49</v>
      </c>
      <c r="I20" s="14">
        <v>45</v>
      </c>
      <c r="J20" s="8">
        <f t="shared" si="7"/>
        <v>7</v>
      </c>
      <c r="K20" s="8">
        <f t="shared" ref="K20:K23" si="10">IF(F20&gt;40,F20-40,0)</f>
        <v>4</v>
      </c>
      <c r="L20" s="8">
        <f t="shared" ref="L20:L23" si="11">IF(G20&gt;40,G20-40,0)</f>
        <v>0</v>
      </c>
      <c r="M20" s="8">
        <f t="shared" ref="M20:M23" si="12">IF(H20&gt;40,H20-40,0)</f>
        <v>9</v>
      </c>
      <c r="N20" s="8">
        <f t="shared" ref="N20:N23" si="13">IF(I20&gt;40,I20-40,0)</f>
        <v>5</v>
      </c>
      <c r="O20" s="10">
        <f t="shared" si="8"/>
        <v>997.5</v>
      </c>
      <c r="P20" s="10">
        <f t="shared" ref="P20:P23" si="14">0.5*$D20*K20</f>
        <v>570</v>
      </c>
      <c r="Q20" s="10">
        <f t="shared" ref="Q20:Q23" si="15">0.5*$D20*L20</f>
        <v>0</v>
      </c>
      <c r="R20" s="10">
        <f t="shared" ref="R20:R23" si="16">0.5*$D20*M20</f>
        <v>1282.5</v>
      </c>
      <c r="S20" s="10">
        <f t="shared" ref="S20:S23" si="17">0.5*$D20*N20</f>
        <v>712.5</v>
      </c>
      <c r="T20" s="12">
        <f t="shared" si="9"/>
        <v>13395</v>
      </c>
      <c r="U20" s="12">
        <f t="shared" ref="U20:U23" si="18">$D20*F20</f>
        <v>12540</v>
      </c>
      <c r="V20" s="12">
        <f t="shared" ref="V20:V23" si="19">$D20*G20</f>
        <v>11400</v>
      </c>
      <c r="W20" s="12">
        <f t="shared" ref="W20:W23" si="20">$D20*H20</f>
        <v>13965</v>
      </c>
      <c r="X20" s="12">
        <f t="shared" ref="X20:X23" si="21">$D20*I20</f>
        <v>12825</v>
      </c>
      <c r="Z20" s="3">
        <f>SUM(W20:Y20)</f>
        <v>26790</v>
      </c>
    </row>
    <row r="21" spans="1:26" x14ac:dyDescent="0.25">
      <c r="A21" t="s">
        <v>29</v>
      </c>
      <c r="B21" t="s">
        <v>23</v>
      </c>
      <c r="D21" s="3">
        <v>250</v>
      </c>
      <c r="E21" s="14">
        <v>43</v>
      </c>
      <c r="F21" s="14">
        <v>39</v>
      </c>
      <c r="G21" s="14">
        <v>42</v>
      </c>
      <c r="H21" s="14">
        <v>45</v>
      </c>
      <c r="I21" s="14">
        <v>40</v>
      </c>
      <c r="J21" s="8">
        <f t="shared" si="7"/>
        <v>3</v>
      </c>
      <c r="K21" s="8">
        <f t="shared" si="10"/>
        <v>0</v>
      </c>
      <c r="L21" s="8">
        <f t="shared" si="11"/>
        <v>2</v>
      </c>
      <c r="M21" s="8">
        <f t="shared" si="12"/>
        <v>5</v>
      </c>
      <c r="N21" s="8">
        <f t="shared" si="13"/>
        <v>0</v>
      </c>
      <c r="O21" s="10">
        <f t="shared" si="8"/>
        <v>375</v>
      </c>
      <c r="P21" s="10">
        <f t="shared" si="14"/>
        <v>0</v>
      </c>
      <c r="Q21" s="10">
        <f t="shared" si="15"/>
        <v>250</v>
      </c>
      <c r="R21" s="10">
        <f t="shared" si="16"/>
        <v>625</v>
      </c>
      <c r="S21" s="10">
        <f t="shared" si="17"/>
        <v>0</v>
      </c>
      <c r="T21" s="12">
        <f t="shared" si="9"/>
        <v>10750</v>
      </c>
      <c r="U21" s="12">
        <f t="shared" si="18"/>
        <v>9750</v>
      </c>
      <c r="V21" s="12">
        <f t="shared" si="19"/>
        <v>10500</v>
      </c>
      <c r="W21" s="12">
        <f t="shared" si="20"/>
        <v>11250</v>
      </c>
      <c r="X21" s="12">
        <f t="shared" si="21"/>
        <v>10000</v>
      </c>
      <c r="Z21" s="3">
        <f>SUM(W21:Y21)</f>
        <v>21250</v>
      </c>
    </row>
    <row r="22" spans="1:26" x14ac:dyDescent="0.25">
      <c r="A22" t="s">
        <v>5</v>
      </c>
      <c r="B22" t="s">
        <v>24</v>
      </c>
      <c r="D22" s="3">
        <v>295</v>
      </c>
      <c r="E22" s="14">
        <v>52</v>
      </c>
      <c r="F22" s="14">
        <v>48</v>
      </c>
      <c r="G22" s="14">
        <v>45</v>
      </c>
      <c r="H22" s="14">
        <v>50</v>
      </c>
      <c r="I22" s="14">
        <v>47</v>
      </c>
      <c r="J22" s="8">
        <f t="shared" si="7"/>
        <v>12</v>
      </c>
      <c r="K22" s="8">
        <f t="shared" si="10"/>
        <v>8</v>
      </c>
      <c r="L22" s="8">
        <f t="shared" si="11"/>
        <v>5</v>
      </c>
      <c r="M22" s="8">
        <f t="shared" si="12"/>
        <v>10</v>
      </c>
      <c r="N22" s="8">
        <f t="shared" si="13"/>
        <v>7</v>
      </c>
      <c r="O22" s="10">
        <f t="shared" si="8"/>
        <v>1770</v>
      </c>
      <c r="P22" s="10">
        <f t="shared" si="14"/>
        <v>1180</v>
      </c>
      <c r="Q22" s="10">
        <f t="shared" si="15"/>
        <v>737.5</v>
      </c>
      <c r="R22" s="10">
        <f t="shared" si="16"/>
        <v>1475</v>
      </c>
      <c r="S22" s="10">
        <f t="shared" si="17"/>
        <v>1032.5</v>
      </c>
      <c r="T22" s="12">
        <f t="shared" si="9"/>
        <v>15340</v>
      </c>
      <c r="U22" s="12">
        <f t="shared" si="18"/>
        <v>14160</v>
      </c>
      <c r="V22" s="12">
        <f t="shared" si="19"/>
        <v>13275</v>
      </c>
      <c r="W22" s="12">
        <f t="shared" si="20"/>
        <v>14750</v>
      </c>
      <c r="X22" s="12">
        <f t="shared" si="21"/>
        <v>13865</v>
      </c>
      <c r="Z22" s="3">
        <f>SUM(W22:Y22)</f>
        <v>28615</v>
      </c>
    </row>
    <row r="23" spans="1:26" x14ac:dyDescent="0.25">
      <c r="A23" t="s">
        <v>28</v>
      </c>
      <c r="B23" t="s">
        <v>25</v>
      </c>
      <c r="D23" s="3">
        <v>255</v>
      </c>
      <c r="E23" s="14">
        <v>39</v>
      </c>
      <c r="F23" s="14">
        <v>41</v>
      </c>
      <c r="G23" s="14">
        <v>40</v>
      </c>
      <c r="H23" s="14">
        <v>44</v>
      </c>
      <c r="I23" s="14">
        <v>38</v>
      </c>
      <c r="J23" s="8">
        <f t="shared" si="7"/>
        <v>0</v>
      </c>
      <c r="K23" s="8">
        <f t="shared" si="10"/>
        <v>1</v>
      </c>
      <c r="L23" s="8">
        <f t="shared" si="11"/>
        <v>0</v>
      </c>
      <c r="M23" s="8">
        <f t="shared" si="12"/>
        <v>4</v>
      </c>
      <c r="N23" s="8">
        <f t="shared" si="13"/>
        <v>0</v>
      </c>
      <c r="O23" s="10">
        <f t="shared" si="8"/>
        <v>0</v>
      </c>
      <c r="P23" s="10">
        <f t="shared" si="14"/>
        <v>127.5</v>
      </c>
      <c r="Q23" s="10">
        <f t="shared" si="15"/>
        <v>0</v>
      </c>
      <c r="R23" s="10">
        <f t="shared" si="16"/>
        <v>510</v>
      </c>
      <c r="S23" s="10">
        <f t="shared" si="17"/>
        <v>0</v>
      </c>
      <c r="T23" s="12">
        <f t="shared" si="9"/>
        <v>9945</v>
      </c>
      <c r="U23" s="12">
        <f t="shared" si="18"/>
        <v>10455</v>
      </c>
      <c r="V23" s="12">
        <f t="shared" si="19"/>
        <v>10200</v>
      </c>
      <c r="W23" s="12">
        <f t="shared" si="20"/>
        <v>11220</v>
      </c>
      <c r="X23" s="12">
        <f t="shared" si="21"/>
        <v>9690</v>
      </c>
      <c r="Z23" s="3">
        <f>SUM(W23:Y23)</f>
        <v>20910</v>
      </c>
    </row>
    <row r="24" spans="1:26" x14ac:dyDescent="0.25">
      <c r="E24" s="2"/>
    </row>
    <row r="26" spans="1:26" x14ac:dyDescent="0.25">
      <c r="A26" t="s">
        <v>35</v>
      </c>
      <c r="D26" s="3">
        <f>MAX(D4:D23)</f>
        <v>320</v>
      </c>
      <c r="E26" s="5">
        <f>MAX(E4:E23)</f>
        <v>52</v>
      </c>
      <c r="F26" s="5">
        <f t="shared" ref="F26:N26" si="22">MAX(F4:F23)</f>
        <v>48</v>
      </c>
      <c r="G26" s="5">
        <f t="shared" si="22"/>
        <v>48</v>
      </c>
      <c r="H26" s="5">
        <f t="shared" si="22"/>
        <v>52</v>
      </c>
      <c r="I26" s="5">
        <f t="shared" si="22"/>
        <v>52</v>
      </c>
      <c r="J26" s="5">
        <f t="shared" si="22"/>
        <v>12</v>
      </c>
      <c r="K26" s="5">
        <f t="shared" si="22"/>
        <v>8</v>
      </c>
      <c r="L26" s="5">
        <f t="shared" si="22"/>
        <v>8</v>
      </c>
      <c r="M26" s="5">
        <f t="shared" si="22"/>
        <v>12</v>
      </c>
      <c r="N26" s="5">
        <f t="shared" si="22"/>
        <v>12</v>
      </c>
      <c r="O26" s="4">
        <f>MAX(O4:O23)</f>
        <v>1770</v>
      </c>
      <c r="P26" s="4">
        <f t="shared" ref="P26:W26" si="23">MAX(P4:P23)</f>
        <v>1180</v>
      </c>
      <c r="Q26" s="4">
        <f t="shared" si="23"/>
        <v>1160</v>
      </c>
      <c r="R26" s="4">
        <f t="shared" si="23"/>
        <v>1680</v>
      </c>
      <c r="S26" s="4">
        <f t="shared" si="23"/>
        <v>1860</v>
      </c>
      <c r="T26" s="4">
        <f t="shared" si="23"/>
        <v>15500</v>
      </c>
      <c r="U26" s="4">
        <f t="shared" si="23"/>
        <v>14720</v>
      </c>
      <c r="V26" s="4">
        <f t="shared" si="23"/>
        <v>13920</v>
      </c>
      <c r="W26" s="4">
        <f t="shared" si="23"/>
        <v>14880</v>
      </c>
      <c r="X26" s="4">
        <f>MAX(X4:X23)</f>
        <v>16120</v>
      </c>
      <c r="Z26" s="4">
        <f>MAX(Z4:Z23)</f>
        <v>31000</v>
      </c>
    </row>
    <row r="27" spans="1:26" x14ac:dyDescent="0.25">
      <c r="A27" t="s">
        <v>36</v>
      </c>
      <c r="D27" s="3">
        <f>MIN(D4:D23)</f>
        <v>215</v>
      </c>
      <c r="E27" s="5">
        <f>MIN(E4:E23)</f>
        <v>35</v>
      </c>
      <c r="F27" s="5">
        <f t="shared" ref="F27:N27" si="24">MIN(F4:F23)</f>
        <v>38</v>
      </c>
      <c r="G27" s="5">
        <f t="shared" si="24"/>
        <v>35</v>
      </c>
      <c r="H27" s="5">
        <f t="shared" si="24"/>
        <v>39</v>
      </c>
      <c r="I27" s="5">
        <f t="shared" si="24"/>
        <v>37</v>
      </c>
      <c r="J27" s="5">
        <f t="shared" si="24"/>
        <v>0</v>
      </c>
      <c r="K27" s="5">
        <f t="shared" si="24"/>
        <v>0</v>
      </c>
      <c r="L27" s="5">
        <f t="shared" si="24"/>
        <v>0</v>
      </c>
      <c r="M27" s="5">
        <f t="shared" si="24"/>
        <v>0</v>
      </c>
      <c r="N27" s="5">
        <f t="shared" si="24"/>
        <v>0</v>
      </c>
      <c r="O27" s="4">
        <f>MIN(O4:O23)</f>
        <v>0</v>
      </c>
      <c r="P27" s="4">
        <f t="shared" ref="P27:X27" si="25">MIN(P4:P23)</f>
        <v>0</v>
      </c>
      <c r="Q27" s="4">
        <f t="shared" si="25"/>
        <v>0</v>
      </c>
      <c r="R27" s="4">
        <f t="shared" si="25"/>
        <v>0</v>
      </c>
      <c r="S27" s="4">
        <f t="shared" si="25"/>
        <v>0</v>
      </c>
      <c r="T27" s="4">
        <f t="shared" si="25"/>
        <v>7955</v>
      </c>
      <c r="U27" s="4">
        <f t="shared" si="25"/>
        <v>8550</v>
      </c>
      <c r="V27" s="4">
        <f t="shared" si="25"/>
        <v>7525</v>
      </c>
      <c r="W27" s="4">
        <f t="shared" si="25"/>
        <v>8800</v>
      </c>
      <c r="X27" s="4">
        <f t="shared" si="25"/>
        <v>8170</v>
      </c>
      <c r="Z27" s="4">
        <f t="shared" ref="Z27" si="26">MIN(Z4:Z23)</f>
        <v>17200</v>
      </c>
    </row>
    <row r="28" spans="1:26" x14ac:dyDescent="0.25">
      <c r="A28" t="s">
        <v>37</v>
      </c>
      <c r="D28" s="3">
        <f>AVERAGE(D4:D23)</f>
        <v>262.5</v>
      </c>
      <c r="E28" s="5">
        <f>AVERAGE(E4:E23)</f>
        <v>42.2</v>
      </c>
      <c r="F28" s="5">
        <f t="shared" ref="F28:N28" si="27">AVERAGE(F4:F23)</f>
        <v>41.8</v>
      </c>
      <c r="G28" s="5">
        <f t="shared" si="27"/>
        <v>41.3</v>
      </c>
      <c r="H28" s="5">
        <f t="shared" si="27"/>
        <v>43.8</v>
      </c>
      <c r="I28" s="5">
        <f t="shared" si="27"/>
        <v>42.3</v>
      </c>
      <c r="J28" s="5">
        <f t="shared" si="27"/>
        <v>3</v>
      </c>
      <c r="K28" s="5">
        <f t="shared" si="27"/>
        <v>2.15</v>
      </c>
      <c r="L28" s="5">
        <f t="shared" si="27"/>
        <v>1.95</v>
      </c>
      <c r="M28" s="5">
        <f t="shared" si="27"/>
        <v>3.85</v>
      </c>
      <c r="N28" s="5">
        <f t="shared" si="27"/>
        <v>2.75</v>
      </c>
      <c r="O28" s="4">
        <f>AVERAGE(O4:O23)</f>
        <v>424.25</v>
      </c>
      <c r="P28" s="4">
        <f t="shared" ref="P28:X28" si="28">AVERAGE(P4:P23)</f>
        <v>311.125</v>
      </c>
      <c r="Q28" s="4">
        <f t="shared" si="28"/>
        <v>253.75</v>
      </c>
      <c r="R28" s="4">
        <f t="shared" si="28"/>
        <v>534.375</v>
      </c>
      <c r="S28" s="4">
        <f t="shared" si="28"/>
        <v>392.125</v>
      </c>
      <c r="T28" s="4">
        <f t="shared" si="28"/>
        <v>11145.5</v>
      </c>
      <c r="U28" s="4">
        <f t="shared" si="28"/>
        <v>11040.25</v>
      </c>
      <c r="V28" s="4">
        <f t="shared" si="28"/>
        <v>10853</v>
      </c>
      <c r="W28" s="4">
        <f t="shared" si="28"/>
        <v>11556.75</v>
      </c>
      <c r="X28" s="4">
        <f t="shared" si="28"/>
        <v>11167.5</v>
      </c>
      <c r="Z28" s="4">
        <f t="shared" ref="Z28" si="29">AVERAGE(Z4:Z23)</f>
        <v>22724.25</v>
      </c>
    </row>
    <row r="29" spans="1:26" x14ac:dyDescent="0.25">
      <c r="A29" t="s">
        <v>38</v>
      </c>
      <c r="D29" s="3">
        <f>SUM(D4:D23)</f>
        <v>5250</v>
      </c>
      <c r="E29" s="6">
        <f>SUM(E4:E23)</f>
        <v>844</v>
      </c>
      <c r="F29" s="6">
        <f t="shared" ref="F29:N29" si="30">SUM(F4:F23)</f>
        <v>836</v>
      </c>
      <c r="G29" s="6">
        <f t="shared" si="30"/>
        <v>826</v>
      </c>
      <c r="H29" s="6">
        <f t="shared" si="30"/>
        <v>876</v>
      </c>
      <c r="I29" s="6">
        <f t="shared" si="30"/>
        <v>846</v>
      </c>
      <c r="J29" s="6">
        <f t="shared" si="30"/>
        <v>60</v>
      </c>
      <c r="K29" s="6">
        <f t="shared" si="30"/>
        <v>43</v>
      </c>
      <c r="L29" s="6">
        <f t="shared" si="30"/>
        <v>39</v>
      </c>
      <c r="M29" s="6">
        <f t="shared" si="30"/>
        <v>77</v>
      </c>
      <c r="N29" s="6">
        <f t="shared" si="30"/>
        <v>55</v>
      </c>
      <c r="O29" s="4">
        <f>SUM(O4:O23)</f>
        <v>8485</v>
      </c>
      <c r="P29" s="4">
        <f t="shared" ref="P29:X29" si="31">SUM(P4:P23)</f>
        <v>6222.5</v>
      </c>
      <c r="Q29" s="4">
        <f t="shared" si="31"/>
        <v>5075</v>
      </c>
      <c r="R29" s="4">
        <f t="shared" si="31"/>
        <v>10687.5</v>
      </c>
      <c r="S29" s="4">
        <f t="shared" si="31"/>
        <v>7842.5</v>
      </c>
      <c r="T29" s="4">
        <f t="shared" si="31"/>
        <v>222910</v>
      </c>
      <c r="U29" s="4">
        <f t="shared" si="31"/>
        <v>220805</v>
      </c>
      <c r="V29" s="4">
        <f t="shared" si="31"/>
        <v>217060</v>
      </c>
      <c r="W29" s="4">
        <f t="shared" si="31"/>
        <v>231135</v>
      </c>
      <c r="X29" s="4">
        <f t="shared" si="31"/>
        <v>223350</v>
      </c>
      <c r="Z29" s="4">
        <f t="shared" ref="Z29" si="32">SUM(Z4:Z23)</f>
        <v>454485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Srinidhi Reddy</dc:creator>
  <cp:lastModifiedBy>Srinidhi Reddy</cp:lastModifiedBy>
  <dcterms:created xsi:type="dcterms:W3CDTF">2026-10-05T16:10:11Z</dcterms:created>
  <dcterms:modified xsi:type="dcterms:W3CDTF">2026-10-05T17:10:37Z</dcterms:modified>
</cp:coreProperties>
</file>