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rin\Downloads\"/>
    </mc:Choice>
  </mc:AlternateContent>
  <xr:revisionPtr revIDLastSave="0" documentId="13_ncr:1_{7DBC5554-D466-49C6-9F72-FE9BF69E435B}" xr6:coauthVersionLast="47" xr6:coauthVersionMax="47" xr10:uidLastSave="{00000000-0000-0000-0000-000000000000}"/>
  <bookViews>
    <workbookView xWindow="-120" yWindow="-120" windowWidth="24240" windowHeight="13020" xr2:uid="{D9FDC5E4-D9F7-4F88-905D-DAD83C7379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G9" i="1"/>
  <c r="G10" i="1"/>
  <c r="G2" i="1"/>
  <c r="G3" i="1"/>
  <c r="G4" i="1"/>
  <c r="B23" i="1"/>
  <c r="B24" i="1" s="1"/>
  <c r="B25" i="1" s="1"/>
  <c r="B26" i="1" s="1"/>
  <c r="C23" i="1"/>
  <c r="D23" i="1"/>
  <c r="C24" i="1"/>
  <c r="C25" i="1" s="1"/>
  <c r="C26" i="1" s="1"/>
  <c r="D24" i="1"/>
  <c r="D25" i="1" s="1"/>
  <c r="D26" i="1" s="1"/>
  <c r="B9" i="1"/>
  <c r="C9" i="1"/>
  <c r="D9" i="1"/>
  <c r="D10" i="1" s="1"/>
  <c r="D11" i="1" s="1"/>
  <c r="D12" i="1" s="1"/>
  <c r="B10" i="1"/>
  <c r="B11" i="1" s="1"/>
  <c r="B12" i="1" s="1"/>
  <c r="C10" i="1"/>
  <c r="C11" i="1" s="1"/>
  <c r="C12" i="1" s="1"/>
</calcChain>
</file>

<file path=xl/sharedStrings.xml><?xml version="1.0" encoding="utf-8"?>
<sst xmlns="http://schemas.openxmlformats.org/spreadsheetml/2006/main" count="40" uniqueCount="17">
  <si>
    <t>Susan - Printer Cost</t>
  </si>
  <si>
    <t>Item</t>
  </si>
  <si>
    <t>Epsilon</t>
  </si>
  <si>
    <t>Heavy Package</t>
  </si>
  <si>
    <t>Zero</t>
  </si>
  <si>
    <t>Initial Printer Cost</t>
  </si>
  <si>
    <t>Pages per Cartridge</t>
  </si>
  <si>
    <t>Cartridge Set Cost</t>
  </si>
  <si>
    <t>Pages per Day</t>
  </si>
  <si>
    <t>Days per Week</t>
  </si>
  <si>
    <t>Weeks per Year</t>
  </si>
  <si>
    <t>Total Pages</t>
  </si>
  <si>
    <t>Cartridge Sets Required</t>
  </si>
  <si>
    <t>Total Cartridge Cost</t>
  </si>
  <si>
    <t>Total Cost</t>
  </si>
  <si>
    <t>Tim - Printer Cost</t>
  </si>
  <si>
    <t>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</si>
</sst>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4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Susan</a:t>
            </a:r>
            <a:r>
              <a:rPr lang="en-US" baseline="0"/>
              <a:t> Printer Cost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Total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Sheet1!$F$2:$F$4</c:f>
              <c:strCache>
                <c:ptCount val="3"/>
                <c:pt idx="0">
                  <c:v>Epsilon</c:v>
                </c:pt>
                <c:pt idx="1">
                  <c:v>Heavy Package</c:v>
                </c:pt>
                <c:pt idx="2">
                  <c:v>Zero</c:v>
                </c:pt>
              </c:strCache>
            </c:strRef>
          </c:cat>
          <c:val>
            <c:numRef>
              <c:f>Sheet1!$G$2:$G$4</c:f>
              <c:numCache>
                <c:formatCode>_("₹"* #,##0.00_);_("₹"* \(#,##0.00\);_("₹"* "-"??_);_(@_)</c:formatCode>
                <c:ptCount val="3"/>
                <c:pt idx="0">
                  <c:v>829</c:v>
                </c:pt>
                <c:pt idx="1">
                  <c:v>509</c:v>
                </c:pt>
                <c:pt idx="2">
                  <c:v>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F1-440C-A749-EA57CBEA9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6788047"/>
        <c:axId val="1501415919"/>
      </c:barChart>
      <c:catAx>
        <c:axId val="1506788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415919"/>
        <c:crosses val="autoZero"/>
        <c:auto val="1"/>
        <c:lblAlgn val="ctr"/>
        <c:lblOffset val="100"/>
        <c:noMultiLvlLbl val="0"/>
      </c:catAx>
      <c:valAx>
        <c:axId val="150141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788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Tim-Printer</a:t>
            </a:r>
            <a:r>
              <a:rPr lang="en-IN" baseline="0"/>
              <a:t> Cost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Sheet1!$G$7</c:f>
              <c:strCache>
                <c:ptCount val="1"/>
                <c:pt idx="0">
                  <c:v>Total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Sheet1!$F$8:$F$10</c:f>
              <c:strCache>
                <c:ptCount val="3"/>
                <c:pt idx="0">
                  <c:v>Epsilon</c:v>
                </c:pt>
                <c:pt idx="1">
                  <c:v>Heavy Package</c:v>
                </c:pt>
                <c:pt idx="2">
                  <c:v>Zero</c:v>
                </c:pt>
              </c:strCache>
            </c:strRef>
          </c:cat>
          <c:val>
            <c:numRef>
              <c:f>Sheet1!$G$8:$G$10</c:f>
              <c:numCache>
                <c:formatCode>_("₹"* #,##0.00_);_("₹"* \(#,##0.00\);_("₹"* "-"??_);_(@_)</c:formatCode>
                <c:ptCount val="3"/>
                <c:pt idx="0">
                  <c:v>26029</c:v>
                </c:pt>
                <c:pt idx="1">
                  <c:v>11849</c:v>
                </c:pt>
                <c:pt idx="2">
                  <c:v>4989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2B-447F-88F6-DAD5986B9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1240239"/>
        <c:axId val="1501420719"/>
      </c:barChart>
      <c:catAx>
        <c:axId val="151124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420719"/>
        <c:crosses val="autoZero"/>
        <c:auto val="1"/>
        <c:lblAlgn val="ctr"/>
        <c:lblOffset val="100"/>
        <c:noMultiLvlLbl val="0"/>
      </c:catAx>
      <c:valAx>
        <c:axId val="150142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240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123825</xdr:colOff>
      <xdr:row>0</xdr:row>
      <xdr:rowOff>157162</xdr:rowOff>
    </xdr:from>
    <xdr:to>
      <xdr:col>15</xdr:col>
      <xdr:colOff>428625</xdr:colOff>
      <xdr:row>15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EDC438-BD47-633A-6DA4-95B271A593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123825</xdr:colOff>
      <xdr:row>16</xdr:row>
      <xdr:rowOff>80962</xdr:rowOff>
    </xdr:from>
    <xdr:to>
      <xdr:col>15</xdr:col>
      <xdr:colOff>428625</xdr:colOff>
      <xdr:row>30</xdr:row>
      <xdr:rowOff>157162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855995-E16B-D786-B0B5-2EA0D943F0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E756E-09EE-4D75-BCE7-B271A8D94581}">
  <dimension ref="A1:G26"/>
  <sheetViews>
    <sheetView tabSelected="1" workbookViewId="0">
      <selection activeCell="F20" sqref="F20"/>
    </sheetView>
  </sheetViews>
  <sheetFormatPr defaultRowHeight="15" x14ac:dyDescent="0.25"/>
  <cols>
    <col min="1" max="1" width="21.7109375" customWidth="1"/>
    <col min="2" max="2" width="14" customWidth="1"/>
    <col min="3" max="3" width="13.7109375" customWidth="1"/>
    <col min="4" max="4" width="15.5703125" customWidth="1"/>
    <col min="6" max="6" width="16.5703125" customWidth="1"/>
    <col min="7" max="7" width="14.42578125" customWidth="1"/>
  </cols>
  <sheetData>
    <row r="1" spans="1:7" x14ac:dyDescent="0.25">
      <c r="A1" t="s">
        <v>0</v>
      </c>
      <c r="F1" t="s">
        <v>16</v>
      </c>
      <c r="G1" t="s">
        <v>14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F2" t="s">
        <v>2</v>
      </c>
      <c r="G2" s="2">
        <f>B12</f>
        <v>829</v>
      </c>
    </row>
    <row r="3" spans="1:7" x14ac:dyDescent="0.25">
      <c r="A3" t="s">
        <v>5</v>
      </c>
      <c r="B3" s="1">
        <v>29</v>
      </c>
      <c r="C3" s="1">
        <v>149</v>
      </c>
      <c r="D3" s="1">
        <v>549</v>
      </c>
      <c r="F3" t="s">
        <v>3</v>
      </c>
      <c r="G3" s="2">
        <f>C12</f>
        <v>509</v>
      </c>
    </row>
    <row r="4" spans="1:7" x14ac:dyDescent="0.25">
      <c r="A4" t="s">
        <v>6</v>
      </c>
      <c r="B4" s="1">
        <v>200</v>
      </c>
      <c r="C4" s="1">
        <v>1000</v>
      </c>
      <c r="D4" s="1">
        <v>11000</v>
      </c>
      <c r="F4" t="s">
        <v>4</v>
      </c>
      <c r="G4" s="2">
        <f>D12</f>
        <v>919</v>
      </c>
    </row>
    <row r="5" spans="1:7" x14ac:dyDescent="0.25">
      <c r="A5" t="s">
        <v>7</v>
      </c>
      <c r="B5" s="1">
        <v>40</v>
      </c>
      <c r="C5" s="1">
        <v>90</v>
      </c>
      <c r="D5" s="1">
        <v>370</v>
      </c>
    </row>
    <row r="6" spans="1:7" x14ac:dyDescent="0.25">
      <c r="A6" t="s">
        <v>8</v>
      </c>
      <c r="B6" s="1">
        <v>15</v>
      </c>
      <c r="C6" s="1">
        <v>15</v>
      </c>
      <c r="D6" s="1">
        <v>15</v>
      </c>
    </row>
    <row r="7" spans="1:7" x14ac:dyDescent="0.25">
      <c r="A7" t="s">
        <v>9</v>
      </c>
      <c r="B7" s="1">
        <v>5</v>
      </c>
      <c r="C7" s="1">
        <v>5</v>
      </c>
      <c r="D7" s="1">
        <v>5</v>
      </c>
      <c r="F7" t="s">
        <v>16</v>
      </c>
      <c r="G7" t="s">
        <v>14</v>
      </c>
    </row>
    <row r="8" spans="1:7" x14ac:dyDescent="0.25">
      <c r="A8" t="s">
        <v>10</v>
      </c>
      <c r="B8" s="1">
        <v>52</v>
      </c>
      <c r="C8" s="1">
        <v>52</v>
      </c>
      <c r="D8" s="1">
        <v>52</v>
      </c>
      <c r="F8" t="s">
        <v>2</v>
      </c>
      <c r="G8" s="2">
        <f>B26</f>
        <v>26029</v>
      </c>
    </row>
    <row r="9" spans="1:7" x14ac:dyDescent="0.25">
      <c r="A9" t="s">
        <v>11</v>
      </c>
      <c r="B9" s="1">
        <f>B6*B7*B8</f>
        <v>3900</v>
      </c>
      <c r="C9" s="1">
        <f>C6*C7*C8</f>
        <v>3900</v>
      </c>
      <c r="D9" s="1">
        <f>D6*D7*D8</f>
        <v>3900</v>
      </c>
      <c r="F9" t="s">
        <v>3</v>
      </c>
      <c r="G9" s="2">
        <f>C26</f>
        <v>11849</v>
      </c>
    </row>
    <row r="10" spans="1:7" x14ac:dyDescent="0.25">
      <c r="A10" t="s">
        <v>12</v>
      </c>
      <c r="B10" s="1">
        <f>ROUNDUP(B9/B4,0)</f>
        <v>20</v>
      </c>
      <c r="C10" s="1">
        <f>ROUNDUP(C9/C4,0)</f>
        <v>4</v>
      </c>
      <c r="D10" s="1">
        <f>ROUNDUP(D9/D4,0)</f>
        <v>1</v>
      </c>
      <c r="F10" t="s">
        <v>4</v>
      </c>
      <c r="G10" s="2">
        <f>D26</f>
        <v>4989</v>
      </c>
    </row>
    <row r="11" spans="1:7" x14ac:dyDescent="0.25">
      <c r="A11" t="s">
        <v>13</v>
      </c>
      <c r="B11" s="1">
        <f>B10*B5</f>
        <v>800</v>
      </c>
      <c r="C11" s="1">
        <f>C10*C5</f>
        <v>360</v>
      </c>
      <c r="D11" s="1">
        <f>D10*D5</f>
        <v>370</v>
      </c>
    </row>
    <row r="12" spans="1:7" x14ac:dyDescent="0.25">
      <c r="A12" t="s">
        <v>14</v>
      </c>
      <c r="B12" s="1">
        <f>B3+B11</f>
        <v>829</v>
      </c>
      <c r="C12" s="1">
        <f>C3+C11</f>
        <v>509</v>
      </c>
      <c r="D12" s="1">
        <f>D3+D11</f>
        <v>919</v>
      </c>
    </row>
    <row r="15" spans="1:7" x14ac:dyDescent="0.25">
      <c r="A15" t="s">
        <v>15</v>
      </c>
    </row>
    <row r="16" spans="1:7" x14ac:dyDescent="0.25">
      <c r="A16" t="s">
        <v>1</v>
      </c>
      <c r="B16" t="s">
        <v>2</v>
      </c>
      <c r="C16" t="s">
        <v>3</v>
      </c>
      <c r="D16" t="s">
        <v>4</v>
      </c>
    </row>
    <row r="17" spans="1:4" x14ac:dyDescent="0.25">
      <c r="A17" t="s">
        <v>5</v>
      </c>
      <c r="B17" s="1">
        <v>29</v>
      </c>
      <c r="C17" s="1">
        <v>149</v>
      </c>
      <c r="D17" s="1">
        <v>549</v>
      </c>
    </row>
    <row r="18" spans="1:4" x14ac:dyDescent="0.25">
      <c r="A18" t="s">
        <v>6</v>
      </c>
      <c r="B18" s="1">
        <v>200</v>
      </c>
      <c r="C18" s="1">
        <v>1000</v>
      </c>
      <c r="D18" s="1">
        <v>11000</v>
      </c>
    </row>
    <row r="19" spans="1:4" x14ac:dyDescent="0.25">
      <c r="A19" t="s">
        <v>7</v>
      </c>
      <c r="B19" s="1">
        <v>40</v>
      </c>
      <c r="C19" s="1">
        <v>90</v>
      </c>
      <c r="D19" s="1">
        <v>370</v>
      </c>
    </row>
    <row r="20" spans="1:4" x14ac:dyDescent="0.25">
      <c r="A20" t="s">
        <v>8</v>
      </c>
      <c r="B20" s="1">
        <v>500</v>
      </c>
      <c r="C20" s="1">
        <v>500</v>
      </c>
      <c r="D20" s="1">
        <v>500</v>
      </c>
    </row>
    <row r="21" spans="1:4" x14ac:dyDescent="0.25">
      <c r="A21" t="s">
        <v>9</v>
      </c>
      <c r="B21" s="1">
        <v>5</v>
      </c>
      <c r="C21" s="1">
        <v>5</v>
      </c>
      <c r="D21" s="1">
        <v>5</v>
      </c>
    </row>
    <row r="22" spans="1:4" x14ac:dyDescent="0.25">
      <c r="A22" t="s">
        <v>10</v>
      </c>
      <c r="B22" s="1">
        <v>52</v>
      </c>
      <c r="C22" s="1">
        <v>52</v>
      </c>
      <c r="D22" s="1">
        <v>52</v>
      </c>
    </row>
    <row r="23" spans="1:4" x14ac:dyDescent="0.25">
      <c r="A23" t="s">
        <v>11</v>
      </c>
      <c r="B23" s="1">
        <f>B20*B21*B22</f>
        <v>130000</v>
      </c>
      <c r="C23" s="1">
        <f>C20*C21*C22</f>
        <v>130000</v>
      </c>
      <c r="D23" s="1">
        <f>D20*D21*D22</f>
        <v>130000</v>
      </c>
    </row>
    <row r="24" spans="1:4" x14ac:dyDescent="0.25">
      <c r="A24" t="s">
        <v>12</v>
      </c>
      <c r="B24" s="1">
        <f>ROUNDUP(B23/B18,0)</f>
        <v>650</v>
      </c>
      <c r="C24" s="1">
        <f>ROUNDUP(C23/C18,0)</f>
        <v>130</v>
      </c>
      <c r="D24" s="1">
        <f>ROUNDUP(D23/D18,0)</f>
        <v>12</v>
      </c>
    </row>
    <row r="25" spans="1:4" x14ac:dyDescent="0.25">
      <c r="A25" t="s">
        <v>13</v>
      </c>
      <c r="B25" s="1">
        <f>B24*B19</f>
        <v>26000</v>
      </c>
      <c r="C25" s="1">
        <f>C24*C19</f>
        <v>11700</v>
      </c>
      <c r="D25" s="1">
        <f>D24*D19</f>
        <v>4440</v>
      </c>
    </row>
    <row r="26" spans="1:4" x14ac:dyDescent="0.25">
      <c r="A26" t="s">
        <v>14</v>
      </c>
      <c r="B26" s="1">
        <f>B17+B25</f>
        <v>26029</v>
      </c>
      <c r="C26" s="1">
        <f>C17+C25</f>
        <v>11849</v>
      </c>
      <c r="D26" s="1">
        <f>D17+D25</f>
        <v>4989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Srinidhi Reddy</dc:creator>
  <cp:lastModifiedBy>Srinidhi Reddy</cp:lastModifiedBy>
  <dcterms:created xsi:type="dcterms:W3CDTF">2026-10-07T18:15:44Z</dcterms:created>
  <dcterms:modified xsi:type="dcterms:W3CDTF">2026-10-07T18:49:28Z</dcterms:modified>
</cp:coreProperties>
</file>